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ki\Desktop\小野田研_2023\アンケート\"/>
    </mc:Choice>
  </mc:AlternateContent>
  <bookViews>
    <workbookView xWindow="0" yWindow="0" windowWidth="19200" windowHeight="7350" activeTab="1"/>
  </bookViews>
  <sheets>
    <sheet name="トリップ数" sheetId="1" r:id="rId1"/>
    <sheet name="円グラフ整理用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2" l="1"/>
  <c r="K9" i="2"/>
  <c r="L9" i="2"/>
  <c r="I9" i="2"/>
  <c r="M8" i="2"/>
  <c r="J4" i="2"/>
  <c r="K4" i="2"/>
  <c r="L4" i="2"/>
  <c r="M4" i="2"/>
  <c r="N4" i="2"/>
  <c r="O4" i="2"/>
  <c r="I4" i="2"/>
  <c r="P3" i="2"/>
  <c r="C4" i="2"/>
  <c r="D4" i="2"/>
  <c r="E4" i="2"/>
  <c r="B4" i="2"/>
  <c r="F3" i="2"/>
  <c r="B26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D24" i="1"/>
  <c r="D25" i="1"/>
  <c r="D26" i="1"/>
  <c r="D27" i="1"/>
  <c r="D23" i="1"/>
  <c r="C24" i="1"/>
  <c r="C25" i="1"/>
  <c r="C26" i="1"/>
  <c r="C27" i="1"/>
  <c r="C23" i="1"/>
  <c r="B27" i="1"/>
  <c r="B25" i="1"/>
  <c r="B24" i="1"/>
  <c r="B23" i="1"/>
  <c r="B13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F17" i="1"/>
  <c r="J17" i="1"/>
  <c r="N17" i="1"/>
  <c r="R17" i="1"/>
  <c r="V17" i="1"/>
  <c r="Z17" i="1"/>
  <c r="AD17" i="1"/>
  <c r="AH17" i="1"/>
  <c r="AL17" i="1"/>
  <c r="AP17" i="1"/>
  <c r="AT17" i="1"/>
  <c r="AX17" i="1"/>
  <c r="BB17" i="1"/>
  <c r="BF17" i="1"/>
  <c r="BJ17" i="1"/>
  <c r="BN17" i="1"/>
  <c r="BR17" i="1"/>
  <c r="B17" i="1"/>
  <c r="F16" i="1"/>
  <c r="J16" i="1"/>
  <c r="N16" i="1"/>
  <c r="R16" i="1"/>
  <c r="V16" i="1"/>
  <c r="Z16" i="1"/>
  <c r="AD16" i="1"/>
  <c r="AH16" i="1"/>
  <c r="AL16" i="1"/>
  <c r="AP16" i="1"/>
  <c r="AT16" i="1"/>
  <c r="AX16" i="1"/>
  <c r="BB16" i="1"/>
  <c r="BF16" i="1"/>
  <c r="BJ16" i="1"/>
  <c r="BN16" i="1"/>
  <c r="BR16" i="1"/>
  <c r="B16" i="1"/>
  <c r="V15" i="1"/>
  <c r="Z15" i="1"/>
  <c r="AD15" i="1"/>
  <c r="AH15" i="1"/>
  <c r="AL15" i="1"/>
  <c r="AP15" i="1"/>
  <c r="AT15" i="1"/>
  <c r="AX15" i="1"/>
  <c r="BB15" i="1"/>
  <c r="BF15" i="1"/>
  <c r="BJ15" i="1"/>
  <c r="BN15" i="1"/>
  <c r="BR15" i="1"/>
  <c r="F15" i="1"/>
  <c r="J15" i="1"/>
  <c r="N15" i="1"/>
  <c r="R15" i="1"/>
  <c r="B15" i="1"/>
  <c r="J14" i="1"/>
  <c r="N14" i="1"/>
  <c r="R14" i="1"/>
  <c r="V14" i="1"/>
  <c r="Z14" i="1"/>
  <c r="AD14" i="1"/>
  <c r="AH14" i="1"/>
  <c r="AL14" i="1"/>
  <c r="AP14" i="1"/>
  <c r="AT14" i="1"/>
  <c r="AX14" i="1"/>
  <c r="BB14" i="1"/>
  <c r="BF14" i="1"/>
  <c r="BJ14" i="1"/>
  <c r="BN14" i="1"/>
  <c r="BR14" i="1"/>
  <c r="F14" i="1"/>
  <c r="B14" i="1"/>
  <c r="J13" i="1"/>
  <c r="N13" i="1"/>
  <c r="R13" i="1"/>
  <c r="V13" i="1"/>
  <c r="Z13" i="1"/>
  <c r="AD13" i="1"/>
  <c r="AH13" i="1"/>
  <c r="AL13" i="1"/>
  <c r="AP13" i="1"/>
  <c r="AT13" i="1"/>
  <c r="AX13" i="1"/>
  <c r="BB13" i="1"/>
  <c r="BF13" i="1"/>
  <c r="BJ13" i="1"/>
  <c r="BN13" i="1"/>
  <c r="BR13" i="1"/>
  <c r="F13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C12" i="1"/>
  <c r="D12" i="1"/>
  <c r="E12" i="1"/>
  <c r="F12" i="1"/>
  <c r="G12" i="1"/>
  <c r="B12" i="1"/>
  <c r="J11" i="1"/>
  <c r="N11" i="1"/>
  <c r="R11" i="1"/>
  <c r="V11" i="1"/>
  <c r="Z11" i="1"/>
  <c r="AD11" i="1"/>
  <c r="AH11" i="1"/>
  <c r="AL11" i="1"/>
  <c r="AP11" i="1"/>
  <c r="AT11" i="1"/>
  <c r="AX11" i="1"/>
  <c r="BB11" i="1"/>
  <c r="BF11" i="1"/>
  <c r="BJ11" i="1"/>
  <c r="BN11" i="1"/>
  <c r="BR11" i="1"/>
  <c r="F11" i="1"/>
  <c r="B11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C10" i="1"/>
  <c r="D10" i="1"/>
  <c r="E10" i="1"/>
  <c r="F10" i="1"/>
  <c r="G10" i="1"/>
  <c r="H10" i="1"/>
  <c r="I10" i="1"/>
  <c r="B10" i="1"/>
</calcChain>
</file>

<file path=xl/sharedStrings.xml><?xml version="1.0" encoding="utf-8"?>
<sst xmlns="http://schemas.openxmlformats.org/spreadsheetml/2006/main" count="162" uniqueCount="79">
  <si>
    <t>月曜日</t>
    <rPh sb="0" eb="3">
      <t>ゲツヨウビ</t>
    </rPh>
    <phoneticPr fontId="1"/>
  </si>
  <si>
    <t>火曜日</t>
  </si>
  <si>
    <t>水曜日</t>
  </si>
  <si>
    <t>木曜日</t>
  </si>
  <si>
    <t>金曜日</t>
  </si>
  <si>
    <t>土曜日</t>
  </si>
  <si>
    <t>日曜日</t>
  </si>
  <si>
    <t>徒歩</t>
    <rPh sb="0" eb="2">
      <t>トホ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</si>
  <si>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</si>
  <si>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</si>
  <si>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</si>
  <si>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</si>
  <si>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A</t>
    <phoneticPr fontId="1"/>
  </si>
  <si>
    <t>利用</t>
    <rPh sb="0" eb="2">
      <t>リヨウ</t>
    </rPh>
    <phoneticPr fontId="1"/>
  </si>
  <si>
    <t>B</t>
    <phoneticPr fontId="1"/>
  </si>
  <si>
    <t>徒歩＋電車</t>
    <rPh sb="0" eb="2">
      <t>トホ</t>
    </rPh>
    <rPh sb="3" eb="5">
      <t>デンシャ</t>
    </rPh>
    <phoneticPr fontId="1"/>
  </si>
  <si>
    <t>車</t>
    <rPh sb="0" eb="1">
      <t>クルマ</t>
    </rPh>
    <phoneticPr fontId="1"/>
  </si>
  <si>
    <t>平日平均</t>
    <rPh sb="0" eb="2">
      <t>ヘイジツ</t>
    </rPh>
    <rPh sb="2" eb="4">
      <t>ヘイキン</t>
    </rPh>
    <phoneticPr fontId="1"/>
  </si>
  <si>
    <t>休日平均</t>
    <rPh sb="0" eb="2">
      <t>キュウジツ</t>
    </rPh>
    <rPh sb="2" eb="4">
      <t>ヘイキン</t>
    </rPh>
    <phoneticPr fontId="1"/>
  </si>
  <si>
    <t>C</t>
    <phoneticPr fontId="1"/>
  </si>
  <si>
    <t>D</t>
    <phoneticPr fontId="1"/>
  </si>
  <si>
    <t>バイク</t>
    <phoneticPr fontId="1"/>
  </si>
  <si>
    <t>時間帯</t>
    <rPh sb="0" eb="3">
      <t>ジカンタイ</t>
    </rPh>
    <phoneticPr fontId="1"/>
  </si>
  <si>
    <t>5時台</t>
    <rPh sb="1" eb="2">
      <t>ジ</t>
    </rPh>
    <rPh sb="2" eb="3">
      <t>ダイ</t>
    </rPh>
    <phoneticPr fontId="1"/>
  </si>
  <si>
    <t>6時台</t>
    <rPh sb="1" eb="2">
      <t>ジ</t>
    </rPh>
    <rPh sb="2" eb="3">
      <t>ダイ</t>
    </rPh>
    <phoneticPr fontId="1"/>
  </si>
  <si>
    <t>7時台</t>
    <rPh sb="1" eb="2">
      <t>ジ</t>
    </rPh>
    <rPh sb="2" eb="3">
      <t>ダイ</t>
    </rPh>
    <phoneticPr fontId="1"/>
  </si>
  <si>
    <t>8時台</t>
    <rPh sb="1" eb="2">
      <t>ジ</t>
    </rPh>
    <rPh sb="2" eb="3">
      <t>ダイ</t>
    </rPh>
    <phoneticPr fontId="1"/>
  </si>
  <si>
    <t>9時台</t>
    <rPh sb="1" eb="2">
      <t>ジ</t>
    </rPh>
    <rPh sb="2" eb="3">
      <t>ダイ</t>
    </rPh>
    <phoneticPr fontId="1"/>
  </si>
  <si>
    <t>10時台</t>
    <rPh sb="2" eb="3">
      <t>ジ</t>
    </rPh>
    <rPh sb="3" eb="4">
      <t>ダイ</t>
    </rPh>
    <phoneticPr fontId="1"/>
  </si>
  <si>
    <t>11時台</t>
    <rPh sb="2" eb="3">
      <t>ジ</t>
    </rPh>
    <rPh sb="3" eb="4">
      <t>ダイ</t>
    </rPh>
    <phoneticPr fontId="1"/>
  </si>
  <si>
    <t>12時台</t>
    <rPh sb="2" eb="3">
      <t>ジ</t>
    </rPh>
    <rPh sb="3" eb="4">
      <t>ダイ</t>
    </rPh>
    <phoneticPr fontId="1"/>
  </si>
  <si>
    <t>13時台</t>
    <rPh sb="2" eb="3">
      <t>ジ</t>
    </rPh>
    <rPh sb="3" eb="4">
      <t>ダイ</t>
    </rPh>
    <phoneticPr fontId="1"/>
  </si>
  <si>
    <t>14時台</t>
    <rPh sb="2" eb="3">
      <t>ジ</t>
    </rPh>
    <rPh sb="3" eb="4">
      <t>ダイ</t>
    </rPh>
    <phoneticPr fontId="1"/>
  </si>
  <si>
    <t>15時台</t>
    <rPh sb="2" eb="3">
      <t>ジ</t>
    </rPh>
    <rPh sb="3" eb="4">
      <t>ダイ</t>
    </rPh>
    <phoneticPr fontId="1"/>
  </si>
  <si>
    <t>16時台</t>
    <rPh sb="2" eb="3">
      <t>ジ</t>
    </rPh>
    <rPh sb="3" eb="4">
      <t>ダイ</t>
    </rPh>
    <phoneticPr fontId="1"/>
  </si>
  <si>
    <t>17時台</t>
    <rPh sb="2" eb="3">
      <t>ジ</t>
    </rPh>
    <rPh sb="3" eb="4">
      <t>ダイ</t>
    </rPh>
    <phoneticPr fontId="1"/>
  </si>
  <si>
    <t>18時台</t>
    <rPh sb="2" eb="3">
      <t>ジ</t>
    </rPh>
    <rPh sb="3" eb="4">
      <t>ダイ</t>
    </rPh>
    <phoneticPr fontId="1"/>
  </si>
  <si>
    <t>19時台</t>
    <rPh sb="2" eb="3">
      <t>ジ</t>
    </rPh>
    <rPh sb="3" eb="4">
      <t>ダイ</t>
    </rPh>
    <phoneticPr fontId="1"/>
  </si>
  <si>
    <t>20時台</t>
    <rPh sb="2" eb="3">
      <t>ジ</t>
    </rPh>
    <rPh sb="3" eb="4">
      <t>ダイ</t>
    </rPh>
    <phoneticPr fontId="1"/>
  </si>
  <si>
    <t>21時台</t>
    <rPh sb="2" eb="3">
      <t>ジ</t>
    </rPh>
    <rPh sb="3" eb="4">
      <t>ダイ</t>
    </rPh>
    <phoneticPr fontId="1"/>
  </si>
  <si>
    <t>22時台</t>
    <rPh sb="2" eb="3">
      <t>ジ</t>
    </rPh>
    <rPh sb="3" eb="4">
      <t>ダイ</t>
    </rPh>
    <phoneticPr fontId="1"/>
  </si>
  <si>
    <t>休日平均</t>
    <rPh sb="0" eb="2">
      <t>キュウジツ</t>
    </rPh>
    <rPh sb="2" eb="4">
      <t>ヘイキン</t>
    </rPh>
    <phoneticPr fontId="1"/>
  </si>
  <si>
    <t>5時台</t>
    <rPh sb="1" eb="3">
      <t>ジダイ</t>
    </rPh>
    <phoneticPr fontId="1"/>
  </si>
  <si>
    <t>6時台</t>
    <rPh sb="1" eb="3">
      <t>ジダイ</t>
    </rPh>
    <phoneticPr fontId="1"/>
  </si>
  <si>
    <t>7時台</t>
    <rPh sb="1" eb="3">
      <t>ジダイ</t>
    </rPh>
    <phoneticPr fontId="1"/>
  </si>
  <si>
    <t>8時台</t>
    <rPh sb="1" eb="3">
      <t>ジダイ</t>
    </rPh>
    <phoneticPr fontId="1"/>
  </si>
  <si>
    <t>9時台</t>
    <rPh sb="1" eb="3">
      <t>ジダイ</t>
    </rPh>
    <phoneticPr fontId="1"/>
  </si>
  <si>
    <t>10時台</t>
    <rPh sb="2" eb="4">
      <t>ジダイ</t>
    </rPh>
    <phoneticPr fontId="1"/>
  </si>
  <si>
    <t>11時台</t>
    <rPh sb="2" eb="4">
      <t>ジダイ</t>
    </rPh>
    <phoneticPr fontId="1"/>
  </si>
  <si>
    <t>12時台</t>
    <rPh sb="2" eb="4">
      <t>ジダイ</t>
    </rPh>
    <phoneticPr fontId="1"/>
  </si>
  <si>
    <t>13時台</t>
    <rPh sb="2" eb="4">
      <t>ジダイ</t>
    </rPh>
    <phoneticPr fontId="1"/>
  </si>
  <si>
    <t>14時台</t>
    <rPh sb="2" eb="4">
      <t>ジダイ</t>
    </rPh>
    <phoneticPr fontId="1"/>
  </si>
  <si>
    <t>15時台</t>
    <rPh sb="2" eb="4">
      <t>ジダイ</t>
    </rPh>
    <phoneticPr fontId="1"/>
  </si>
  <si>
    <t>16時台</t>
    <rPh sb="2" eb="4">
      <t>ジダイ</t>
    </rPh>
    <phoneticPr fontId="1"/>
  </si>
  <si>
    <t>17時台</t>
    <rPh sb="2" eb="4">
      <t>ジダイ</t>
    </rPh>
    <phoneticPr fontId="1"/>
  </si>
  <si>
    <t>18時台</t>
    <rPh sb="2" eb="4">
      <t>ジダイ</t>
    </rPh>
    <phoneticPr fontId="1"/>
  </si>
  <si>
    <t>19時台</t>
    <rPh sb="2" eb="4">
      <t>ジダイ</t>
    </rPh>
    <phoneticPr fontId="1"/>
  </si>
  <si>
    <t>20時台</t>
    <rPh sb="2" eb="4">
      <t>ジダイ</t>
    </rPh>
    <phoneticPr fontId="1"/>
  </si>
  <si>
    <t>21時台</t>
    <rPh sb="2" eb="4">
      <t>ジダイ</t>
    </rPh>
    <phoneticPr fontId="1"/>
  </si>
  <si>
    <t>22時台</t>
    <rPh sb="2" eb="4">
      <t>ジダイ</t>
    </rPh>
    <phoneticPr fontId="1"/>
  </si>
  <si>
    <t>車&amp;バイク(平日平均)</t>
    <rPh sb="0" eb="1">
      <t>クルマ</t>
    </rPh>
    <rPh sb="6" eb="8">
      <t>ヘイジツ</t>
    </rPh>
    <rPh sb="8" eb="10">
      <t>ヘイキン</t>
    </rPh>
    <phoneticPr fontId="1"/>
  </si>
  <si>
    <t>平日徒歩平均</t>
    <rPh sb="0" eb="2">
      <t>ヘイジツ</t>
    </rPh>
    <rPh sb="2" eb="4">
      <t>トホ</t>
    </rPh>
    <rPh sb="4" eb="6">
      <t>ヘイキン</t>
    </rPh>
    <phoneticPr fontId="1"/>
  </si>
  <si>
    <t>休日徒歩平均</t>
    <rPh sb="0" eb="2">
      <t>キュウジツ</t>
    </rPh>
    <rPh sb="2" eb="4">
      <t>トホ</t>
    </rPh>
    <rPh sb="4" eb="6">
      <t>ヘイキン</t>
    </rPh>
    <phoneticPr fontId="1"/>
  </si>
  <si>
    <t>車&amp;バイク(休日平均)</t>
    <rPh sb="0" eb="1">
      <t>クルマ</t>
    </rPh>
    <rPh sb="6" eb="8">
      <t>キュウジツ</t>
    </rPh>
    <rPh sb="8" eb="10">
      <t>ヘイキン</t>
    </rPh>
    <phoneticPr fontId="1"/>
  </si>
  <si>
    <t>平日合計</t>
    <rPh sb="0" eb="2">
      <t>ヘイジツ</t>
    </rPh>
    <rPh sb="2" eb="4">
      <t>ゴウケイ</t>
    </rPh>
    <phoneticPr fontId="1"/>
  </si>
  <si>
    <t>徒歩平日平均</t>
    <rPh sb="0" eb="2">
      <t>トホ</t>
    </rPh>
    <rPh sb="2" eb="4">
      <t>ヘイジツ</t>
    </rPh>
    <rPh sb="4" eb="6">
      <t>ヘイキン</t>
    </rPh>
    <phoneticPr fontId="1"/>
  </si>
  <si>
    <t>徒歩休日平均</t>
    <rPh sb="0" eb="2">
      <t>トホ</t>
    </rPh>
    <rPh sb="2" eb="6">
      <t>キュウジツヘイキン</t>
    </rPh>
    <phoneticPr fontId="1"/>
  </si>
  <si>
    <t>5時台</t>
    <rPh sb="1" eb="3">
      <t>ジダイ</t>
    </rPh>
    <phoneticPr fontId="1"/>
  </si>
  <si>
    <t>6時台</t>
    <rPh sb="1" eb="3">
      <t>ジダイ</t>
    </rPh>
    <phoneticPr fontId="1"/>
  </si>
  <si>
    <t>7時台</t>
    <rPh sb="1" eb="3">
      <t>ジダイ</t>
    </rPh>
    <phoneticPr fontId="1"/>
  </si>
  <si>
    <t>8時台</t>
    <rPh sb="1" eb="3">
      <t>ジダイ</t>
    </rPh>
    <phoneticPr fontId="1"/>
  </si>
  <si>
    <t>16時台</t>
    <rPh sb="2" eb="4">
      <t>ジダイ</t>
    </rPh>
    <phoneticPr fontId="1"/>
  </si>
  <si>
    <t>17時台</t>
    <rPh sb="2" eb="4">
      <t>ジダイ</t>
    </rPh>
    <phoneticPr fontId="1"/>
  </si>
  <si>
    <t>18時台</t>
    <rPh sb="2" eb="4">
      <t>ジダイ</t>
    </rPh>
    <phoneticPr fontId="1"/>
  </si>
  <si>
    <t>19時台</t>
    <rPh sb="2" eb="4">
      <t>ジダイ</t>
    </rPh>
    <phoneticPr fontId="1"/>
  </si>
  <si>
    <t>20時台</t>
    <rPh sb="2" eb="4">
      <t>ジダイ</t>
    </rPh>
    <phoneticPr fontId="1"/>
  </si>
  <si>
    <t>21時台</t>
    <rPh sb="2" eb="4">
      <t>ジダイ</t>
    </rPh>
    <phoneticPr fontId="1"/>
  </si>
  <si>
    <t>22時台</t>
    <rPh sb="2" eb="4">
      <t>ジダイ</t>
    </rPh>
    <phoneticPr fontId="1"/>
  </si>
  <si>
    <t>バイク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</si>
</sst>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0.0"/>
    <numFmt numFmtId="183" formatCode="0.0%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0" fontId="2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0" borderId="2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10815234915511E-2"/>
          <c:y val="3.2341418111460171E-2"/>
          <c:w val="0.85658639911041856"/>
          <c:h val="0.739298161697513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トリップ数!$A$22</c:f>
              <c:strCache>
                <c:ptCount val="1"/>
                <c:pt idx="0">
                  <c:v>徒歩平日平均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トリップ数!$B$21:$S$21</c:f>
              <c:strCache>
                <c:ptCount val="18"/>
                <c:pt idx="0">
                  <c:v>5時台</c:v>
                </c:pt>
                <c:pt idx="1">
                  <c:v>6時台</c:v>
                </c:pt>
                <c:pt idx="2">
                  <c:v>7時台</c:v>
                </c:pt>
                <c:pt idx="3">
                  <c:v>8時台</c:v>
                </c:pt>
                <c:pt idx="4">
                  <c:v>9時台</c:v>
                </c:pt>
                <c:pt idx="5">
                  <c:v>10時台</c:v>
                </c:pt>
                <c:pt idx="6">
                  <c:v>11時台</c:v>
                </c:pt>
                <c:pt idx="7">
                  <c:v>12時台</c:v>
                </c:pt>
                <c:pt idx="8">
                  <c:v>13時台</c:v>
                </c:pt>
                <c:pt idx="9">
                  <c:v>14時台</c:v>
                </c:pt>
                <c:pt idx="10">
                  <c:v>15時台</c:v>
                </c:pt>
                <c:pt idx="11">
                  <c:v>16時台</c:v>
                </c:pt>
                <c:pt idx="12">
                  <c:v>17時台</c:v>
                </c:pt>
                <c:pt idx="13">
                  <c:v>18時台</c:v>
                </c:pt>
                <c:pt idx="14">
                  <c:v>19時台</c:v>
                </c:pt>
                <c:pt idx="15">
                  <c:v>20時台</c:v>
                </c:pt>
                <c:pt idx="16">
                  <c:v>21時台</c:v>
                </c:pt>
                <c:pt idx="17">
                  <c:v>22時台</c:v>
                </c:pt>
              </c:strCache>
            </c:strRef>
          </c:cat>
          <c:val>
            <c:numRef>
              <c:f>トリップ数!$B$22:$S$22</c:f>
              <c:numCache>
                <c:formatCode>General</c:formatCode>
                <c:ptCount val="18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</c:v>
                </c:pt>
                <c:pt idx="12">
                  <c:v>2.4</c:v>
                </c:pt>
                <c:pt idx="13">
                  <c:v>2</c:v>
                </c:pt>
                <c:pt idx="14">
                  <c:v>1</c:v>
                </c:pt>
                <c:pt idx="15">
                  <c:v>3.4</c:v>
                </c:pt>
                <c:pt idx="16">
                  <c:v>1.6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A-4885-BC31-22B99B0A6A15}"/>
            </c:ext>
          </c:extLst>
        </c:ser>
        <c:ser>
          <c:idx val="1"/>
          <c:order val="1"/>
          <c:tx>
            <c:strRef>
              <c:f>トリップ数!$A$23</c:f>
              <c:strCache>
                <c:ptCount val="1"/>
                <c:pt idx="0">
                  <c:v>徒歩休日平均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トリップ数!$B$21:$S$21</c:f>
              <c:strCache>
                <c:ptCount val="18"/>
                <c:pt idx="0">
                  <c:v>5時台</c:v>
                </c:pt>
                <c:pt idx="1">
                  <c:v>6時台</c:v>
                </c:pt>
                <c:pt idx="2">
                  <c:v>7時台</c:v>
                </c:pt>
                <c:pt idx="3">
                  <c:v>8時台</c:v>
                </c:pt>
                <c:pt idx="4">
                  <c:v>9時台</c:v>
                </c:pt>
                <c:pt idx="5">
                  <c:v>10時台</c:v>
                </c:pt>
                <c:pt idx="6">
                  <c:v>11時台</c:v>
                </c:pt>
                <c:pt idx="7">
                  <c:v>12時台</c:v>
                </c:pt>
                <c:pt idx="8">
                  <c:v>13時台</c:v>
                </c:pt>
                <c:pt idx="9">
                  <c:v>14時台</c:v>
                </c:pt>
                <c:pt idx="10">
                  <c:v>15時台</c:v>
                </c:pt>
                <c:pt idx="11">
                  <c:v>16時台</c:v>
                </c:pt>
                <c:pt idx="12">
                  <c:v>17時台</c:v>
                </c:pt>
                <c:pt idx="13">
                  <c:v>18時台</c:v>
                </c:pt>
                <c:pt idx="14">
                  <c:v>19時台</c:v>
                </c:pt>
                <c:pt idx="15">
                  <c:v>20時台</c:v>
                </c:pt>
                <c:pt idx="16">
                  <c:v>21時台</c:v>
                </c:pt>
                <c:pt idx="17">
                  <c:v>22時台</c:v>
                </c:pt>
              </c:strCache>
            </c:strRef>
          </c:cat>
          <c:val>
            <c:numRef>
              <c:f>トリップ数!$B$23:$S$23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A-4885-BC31-22B99B0A6A15}"/>
            </c:ext>
          </c:extLst>
        </c:ser>
        <c:ser>
          <c:idx val="2"/>
          <c:order val="2"/>
          <c:tx>
            <c:strRef>
              <c:f>トリップ数!$A$24</c:f>
              <c:strCache>
                <c:ptCount val="1"/>
                <c:pt idx="0">
                  <c:v>車&amp;バイク(平日平均)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トリップ数!$B$21:$S$21</c:f>
              <c:strCache>
                <c:ptCount val="18"/>
                <c:pt idx="0">
                  <c:v>5時台</c:v>
                </c:pt>
                <c:pt idx="1">
                  <c:v>6時台</c:v>
                </c:pt>
                <c:pt idx="2">
                  <c:v>7時台</c:v>
                </c:pt>
                <c:pt idx="3">
                  <c:v>8時台</c:v>
                </c:pt>
                <c:pt idx="4">
                  <c:v>9時台</c:v>
                </c:pt>
                <c:pt idx="5">
                  <c:v>10時台</c:v>
                </c:pt>
                <c:pt idx="6">
                  <c:v>11時台</c:v>
                </c:pt>
                <c:pt idx="7">
                  <c:v>12時台</c:v>
                </c:pt>
                <c:pt idx="8">
                  <c:v>13時台</c:v>
                </c:pt>
                <c:pt idx="9">
                  <c:v>14時台</c:v>
                </c:pt>
                <c:pt idx="10">
                  <c:v>15時台</c:v>
                </c:pt>
                <c:pt idx="11">
                  <c:v>16時台</c:v>
                </c:pt>
                <c:pt idx="12">
                  <c:v>17時台</c:v>
                </c:pt>
                <c:pt idx="13">
                  <c:v>18時台</c:v>
                </c:pt>
                <c:pt idx="14">
                  <c:v>19時台</c:v>
                </c:pt>
                <c:pt idx="15">
                  <c:v>20時台</c:v>
                </c:pt>
                <c:pt idx="16">
                  <c:v>21時台</c:v>
                </c:pt>
                <c:pt idx="17">
                  <c:v>22時台</c:v>
                </c:pt>
              </c:strCache>
            </c:strRef>
          </c:cat>
          <c:val>
            <c:numRef>
              <c:f>トリップ数!$B$24:$S$24</c:f>
              <c:numCache>
                <c:formatCode>General</c:formatCode>
                <c:ptCount val="18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0.6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0.6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A-4885-BC31-22B99B0A6A15}"/>
            </c:ext>
          </c:extLst>
        </c:ser>
        <c:ser>
          <c:idx val="3"/>
          <c:order val="3"/>
          <c:tx>
            <c:strRef>
              <c:f>トリップ数!$A$25</c:f>
              <c:strCache>
                <c:ptCount val="1"/>
                <c:pt idx="0">
                  <c:v>車&amp;バイク(休日平均)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トリップ数!$B$21:$S$21</c:f>
              <c:strCache>
                <c:ptCount val="18"/>
                <c:pt idx="0">
                  <c:v>5時台</c:v>
                </c:pt>
                <c:pt idx="1">
                  <c:v>6時台</c:v>
                </c:pt>
                <c:pt idx="2">
                  <c:v>7時台</c:v>
                </c:pt>
                <c:pt idx="3">
                  <c:v>8時台</c:v>
                </c:pt>
                <c:pt idx="4">
                  <c:v>9時台</c:v>
                </c:pt>
                <c:pt idx="5">
                  <c:v>10時台</c:v>
                </c:pt>
                <c:pt idx="6">
                  <c:v>11時台</c:v>
                </c:pt>
                <c:pt idx="7">
                  <c:v>12時台</c:v>
                </c:pt>
                <c:pt idx="8">
                  <c:v>13時台</c:v>
                </c:pt>
                <c:pt idx="9">
                  <c:v>14時台</c:v>
                </c:pt>
                <c:pt idx="10">
                  <c:v>15時台</c:v>
                </c:pt>
                <c:pt idx="11">
                  <c:v>16時台</c:v>
                </c:pt>
                <c:pt idx="12">
                  <c:v>17時台</c:v>
                </c:pt>
                <c:pt idx="13">
                  <c:v>18時台</c:v>
                </c:pt>
                <c:pt idx="14">
                  <c:v>19時台</c:v>
                </c:pt>
                <c:pt idx="15">
                  <c:v>20時台</c:v>
                </c:pt>
                <c:pt idx="16">
                  <c:v>21時台</c:v>
                </c:pt>
                <c:pt idx="17">
                  <c:v>22時台</c:v>
                </c:pt>
              </c:strCache>
            </c:strRef>
          </c:cat>
          <c:val>
            <c:numRef>
              <c:f>トリップ数!$B$25:$S$25</c:f>
              <c:numCache>
                <c:formatCode>General</c:formatCode>
                <c:ptCount val="18"/>
                <c:pt idx="0">
                  <c:v>0</c:v>
                </c:pt>
                <c:pt idx="1">
                  <c:v>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A-4885-BC31-22B99B0A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391539320"/>
        <c:axId val="391537352"/>
      </c:barChart>
      <c:lineChart>
        <c:grouping val="standard"/>
        <c:varyColors val="0"/>
        <c:ser>
          <c:idx val="4"/>
          <c:order val="4"/>
          <c:tx>
            <c:v>平日平均の合計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トリップ数!$B$26:$S$26</c:f>
              <c:numCache>
                <c:formatCode>General</c:formatCode>
                <c:ptCount val="18"/>
                <c:pt idx="0">
                  <c:v>1</c:v>
                </c:pt>
                <c:pt idx="1">
                  <c:v>8</c:v>
                </c:pt>
                <c:pt idx="2">
                  <c:v>6</c:v>
                </c:pt>
                <c:pt idx="3">
                  <c:v>2.6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2.6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4.4000000000000004</c:v>
                </c:pt>
                <c:pt idx="16">
                  <c:v>1.6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AA-4885-BC31-22B99B0A6A15}"/>
            </c:ext>
          </c:extLst>
        </c:ser>
        <c:ser>
          <c:idx val="5"/>
          <c:order val="5"/>
          <c:tx>
            <c:v>休日平均の合計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トリップ数!$B$27:$S$27</c:f>
              <c:numCache>
                <c:formatCode>General</c:formatCode>
                <c:ptCount val="18"/>
                <c:pt idx="0">
                  <c:v>0</c:v>
                </c:pt>
                <c:pt idx="1">
                  <c:v>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AA-4885-BC31-22B99B0A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8416"/>
        <c:axId val="500222192"/>
      </c:lineChart>
      <c:catAx>
        <c:axId val="391539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時間帯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  <a:cs typeface="+mn-cs"/>
              </a:defRPr>
            </a:pPr>
            <a:endParaRPr lang="ja-JP"/>
          </a:p>
        </c:txPr>
        <c:crossAx val="391537352"/>
        <c:crosses val="autoZero"/>
        <c:auto val="1"/>
        <c:lblAlgn val="ctr"/>
        <c:lblOffset val="100"/>
        <c:noMultiLvlLbl val="0"/>
      </c:catAx>
      <c:valAx>
        <c:axId val="39153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交通手段別トリップ数</a:t>
                </a:r>
                <a:r>
                  <a:rPr lang="en-US" altLang="ja-JP">
                    <a:solidFill>
                      <a:schemeClr val="tx1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[</a:t>
                </a:r>
                <a:r>
                  <a:rPr lang="ja-JP" altLang="en-US">
                    <a:solidFill>
                      <a:schemeClr val="tx1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件</a:t>
                </a:r>
                <a:r>
                  <a:rPr lang="en-US" altLang="ja-JP">
                    <a:solidFill>
                      <a:schemeClr val="tx1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]</a:t>
                </a:r>
                <a:endParaRPr lang="ja-JP" altLang="en-US">
                  <a:solidFill>
                    <a:schemeClr val="tx1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539320"/>
        <c:crosses val="autoZero"/>
        <c:crossBetween val="between"/>
      </c:valAx>
      <c:valAx>
        <c:axId val="5002221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ysClr val="windowText" lastClr="000000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合計トリップ数</a:t>
                </a:r>
                <a:r>
                  <a:rPr lang="en-US" altLang="ja-JP">
                    <a:solidFill>
                      <a:sysClr val="windowText" lastClr="000000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[</a:t>
                </a:r>
                <a:r>
                  <a:rPr lang="ja-JP" altLang="en-US">
                    <a:solidFill>
                      <a:sysClr val="windowText" lastClr="000000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件</a:t>
                </a:r>
                <a:r>
                  <a:rPr lang="en-US" altLang="ja-JP">
                    <a:solidFill>
                      <a:sysClr val="windowText" lastClr="000000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</a:rPr>
                  <a:t>]</a:t>
                </a:r>
                <a:endParaRPr lang="ja-JP" altLang="en-US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0208416"/>
        <c:crosses val="max"/>
        <c:crossBetween val="between"/>
      </c:valAx>
      <c:catAx>
        <c:axId val="500208416"/>
        <c:scaling>
          <c:orientation val="minMax"/>
        </c:scaling>
        <c:delete val="1"/>
        <c:axPos val="b"/>
        <c:majorTickMark val="out"/>
        <c:minorTickMark val="none"/>
        <c:tickLblPos val="nextTo"/>
        <c:crossAx val="5002221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75466833767572"/>
          <c:y val="2.9424520119168834E-2"/>
          <c:w val="0.22191615627401992"/>
          <c:h val="0.2795184940929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710411198600125E-3"/>
          <c:y val="4.7928757016204214E-2"/>
          <c:w val="0.77232412615089785"/>
          <c:h val="0.91920188817707615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AD-4736-8F41-0CC399225D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0AD-4736-8F41-0CC399225D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AD-4736-8F41-0CC399225D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0AD-4736-8F41-0CC399225DF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0498DA9-48A3-44BA-85C8-E97AE75370F7}" type="VALUE">
                      <a:rPr lang="en-US" altLang="ja-JP"/>
                      <a:pPr/>
                      <a:t>[値]</a:t>
                    </a:fld>
                    <a:r>
                      <a:rPr lang="en-US" altLang="ja-JP"/>
                      <a:t>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0AD-4736-8F41-0CC399225DF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7E2F41-E206-4EB5-99A0-2AF6AD1A9229}" type="VALUE">
                      <a:rPr lang="en-US" altLang="ja-JP"/>
                      <a:pPr/>
                      <a:t>[値]</a:t>
                    </a:fld>
                    <a:r>
                      <a:rPr lang="en-US" altLang="ja-JP"/>
                      <a:t>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00AD-4736-8F41-0CC399225DF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E04F671-9A82-40A7-BC4A-FE9A5902CCD3}" type="VALUE">
                      <a:rPr lang="en-US" altLang="ja-JP"/>
                      <a:pPr/>
                      <a:t>[値]</a:t>
                    </a:fld>
                    <a:r>
                      <a:rPr lang="en-US" altLang="ja-JP"/>
                      <a:t>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0AD-4736-8F41-0CC399225DF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39AE8A-B609-4747-AB18-181F09A2B68D}" type="VALUE">
                      <a:rPr lang="en-US" altLang="ja-JP"/>
                      <a:pPr/>
                      <a:t>[値]</a:t>
                    </a:fld>
                    <a:r>
                      <a:rPr lang="en-US" altLang="ja-JP"/>
                      <a:t>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00AD-4736-8F41-0CC399225DF8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円グラフ整理用!$B$2:$E$2</c:f>
              <c:strCache>
                <c:ptCount val="4"/>
                <c:pt idx="0">
                  <c:v>5時台</c:v>
                </c:pt>
                <c:pt idx="1">
                  <c:v>6時台</c:v>
                </c:pt>
                <c:pt idx="2">
                  <c:v>7時台</c:v>
                </c:pt>
                <c:pt idx="3">
                  <c:v>8時台</c:v>
                </c:pt>
              </c:strCache>
            </c:strRef>
          </c:cat>
          <c:val>
            <c:numRef>
              <c:f>円グラフ整理用!$B$4:$E$4</c:f>
              <c:numCache>
                <c:formatCode>0.0</c:formatCode>
                <c:ptCount val="4"/>
                <c:pt idx="0">
                  <c:v>4.7619047619047619</c:v>
                </c:pt>
                <c:pt idx="1">
                  <c:v>38.095238095238095</c:v>
                </c:pt>
                <c:pt idx="2">
                  <c:v>42.857142857142854</c:v>
                </c:pt>
                <c:pt idx="3">
                  <c:v>14.285714285714285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D-4736-8F41-0CC399225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254700568320923"/>
          <c:y val="0.11605072523829256"/>
          <c:w val="0.16559222650360195"/>
          <c:h val="0.53265942809780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889891916480332E-2"/>
          <c:y val="2.3477138887050882E-2"/>
          <c:w val="0.74807429380521906"/>
          <c:h val="0.96573876794812408"/>
        </c:manualLayout>
      </c:layout>
      <c:pieChart>
        <c:varyColors val="1"/>
        <c:ser>
          <c:idx val="0"/>
          <c:order val="0"/>
          <c:tx>
            <c:v>系１</c:v>
          </c:tx>
          <c:spPr>
            <a:ln w="317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3175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1B-4FC4-89EB-4143591C24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3175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3175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3175"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175">
                <a:noFill/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円グラフ整理用!$I$2:$O$2</c:f>
              <c:strCache>
                <c:ptCount val="7"/>
                <c:pt idx="0">
                  <c:v>16時台</c:v>
                </c:pt>
                <c:pt idx="1">
                  <c:v>17時台</c:v>
                </c:pt>
                <c:pt idx="2">
                  <c:v>18時台</c:v>
                </c:pt>
                <c:pt idx="3">
                  <c:v>19時台</c:v>
                </c:pt>
                <c:pt idx="4">
                  <c:v>20時台</c:v>
                </c:pt>
                <c:pt idx="5">
                  <c:v>21時台</c:v>
                </c:pt>
                <c:pt idx="6">
                  <c:v>22時台</c:v>
                </c:pt>
              </c:strCache>
            </c:strRef>
          </c:cat>
          <c:val>
            <c:numRef>
              <c:f>円グラフ整理用!$I$4:$O$4</c:f>
              <c:numCache>
                <c:formatCode>0.0%</c:formatCode>
                <c:ptCount val="7"/>
                <c:pt idx="0">
                  <c:v>0.14285714285714285</c:v>
                </c:pt>
                <c:pt idx="1">
                  <c:v>0.19047619047619047</c:v>
                </c:pt>
                <c:pt idx="2">
                  <c:v>0.19047619047619047</c:v>
                </c:pt>
                <c:pt idx="3">
                  <c:v>4.7619047619047616E-2</c:v>
                </c:pt>
                <c:pt idx="4">
                  <c:v>0.2857142857142857</c:v>
                </c:pt>
                <c:pt idx="5">
                  <c:v>9.5238095238095233E-2</c:v>
                </c:pt>
                <c:pt idx="6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1B-4FC4-89EB-4143591C24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66522939717966"/>
          <c:y val="4.3217428703765E-2"/>
          <c:w val="0.18015244969378824"/>
          <c:h val="0.601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589754215945676E-2"/>
          <c:y val="0"/>
          <c:w val="0.77096624055596286"/>
          <c:h val="0.99596580239185584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0F-4060-B213-83B723362C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円グラフ整理用!$I$7:$L$7</c:f>
              <c:strCache>
                <c:ptCount val="4"/>
                <c:pt idx="0">
                  <c:v>徒歩</c:v>
                </c:pt>
                <c:pt idx="1">
                  <c:v>徒歩＋電車</c:v>
                </c:pt>
                <c:pt idx="2">
                  <c:v>車</c:v>
                </c:pt>
                <c:pt idx="3">
                  <c:v>バイク</c:v>
                </c:pt>
              </c:strCache>
            </c:strRef>
          </c:cat>
          <c:val>
            <c:numRef>
              <c:f>円グラフ整理用!$I$9:$L$9</c:f>
              <c:numCache>
                <c:formatCode>0.0%</c:formatCode>
                <c:ptCount val="4"/>
                <c:pt idx="0">
                  <c:v>4.5454545454545456E-2</c:v>
                </c:pt>
                <c:pt idx="1">
                  <c:v>0.68181818181818177</c:v>
                </c:pt>
                <c:pt idx="2">
                  <c:v>0.22727272727272727</c:v>
                </c:pt>
                <c:pt idx="3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F-4060-B213-83B723362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714833115496193"/>
          <c:y val="2.1070404902316077E-2"/>
          <c:w val="0.24740374254837577"/>
          <c:h val="0.3596827331729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427404</xdr:colOff>
      <xdr:row>28</xdr:row>
      <xdr:rowOff>20513</xdr:rowOff>
    </xdr:from>
    <xdr:to>
      <xdr:col>17</xdr:col>
      <xdr:colOff>18318</xdr:colOff>
      <xdr:row>44</xdr:row>
      <xdr:rowOff>164855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D3C5924-5AC6-4CEE-8635-75A47C011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6351</xdr:colOff>
      <xdr:row>6</xdr:row>
      <xdr:rowOff>69850</xdr:rowOff>
    </xdr:from>
    <xdr:to>
      <xdr:col>6</xdr:col>
      <xdr:colOff>31751</xdr:colOff>
      <xdr:row>19</xdr:row>
      <xdr:rowOff>114300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284C965-7C10-4546-B1D5-A0FDCCF74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657225</xdr:colOff>
      <xdr:row>20</xdr:row>
      <xdr:rowOff>120650</xdr:rowOff>
    </xdr:from>
    <xdr:to>
      <xdr:col>6</xdr:col>
      <xdr:colOff>44450</xdr:colOff>
      <xdr:row>33</xdr:row>
      <xdr:rowOff>171450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9FC418B-D623-4BF8-9D51-AD3CCA92D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612775</xdr:colOff>
      <xdr:row>11</xdr:row>
      <xdr:rowOff>171450</xdr:rowOff>
    </xdr:from>
    <xdr:to>
      <xdr:col>12</xdr:col>
      <xdr:colOff>571500</xdr:colOff>
      <xdr:row>25</xdr:row>
      <xdr:rowOff>6350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88B83EB-5C98-4818-AE64-AAF2473EE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2"/>
  <sheetViews>
    <sheetView zoomScale="104" zoomScaleNormal="104" workbookViewId="0">
      <selection activeCell="F28" sqref="F28"/>
    </sheetView>
  </sheetViews>
  <sheetFormatPr defaultRowHeight="18" x14ac:dyDescent="0.55000000000000004"/>
  <cols>
    <col min="1" max="1" width="22.83203125" customWidth="1"/>
    <col min="22" max="22" width="8.6640625" customWidth="1"/>
  </cols>
  <sheetData>
    <row r="1" spans="1:77" x14ac:dyDescent="0.55000000000000004">
      <c r="A1" s="1" t="s">
        <v>22</v>
      </c>
      <c r="B1" s="10" t="s">
        <v>23</v>
      </c>
      <c r="C1" s="11"/>
      <c r="D1" s="11"/>
      <c r="E1" s="11"/>
      <c r="F1" s="10" t="s">
        <v>24</v>
      </c>
      <c r="G1" s="11"/>
      <c r="H1" s="11"/>
      <c r="I1" s="11"/>
      <c r="J1" s="10" t="s">
        <v>25</v>
      </c>
      <c r="K1" s="11"/>
      <c r="L1" s="11"/>
      <c r="M1" s="11"/>
      <c r="N1" s="10" t="s">
        <v>26</v>
      </c>
      <c r="O1" s="11"/>
      <c r="P1" s="11"/>
      <c r="Q1" s="11"/>
      <c r="R1" s="10" t="s">
        <v>27</v>
      </c>
      <c r="S1" s="11"/>
      <c r="T1" s="11"/>
      <c r="U1" s="11"/>
      <c r="V1" s="10" t="s">
        <v>28</v>
      </c>
      <c r="W1" s="11"/>
      <c r="X1" s="11"/>
      <c r="Y1" s="11"/>
      <c r="Z1" s="10" t="s">
        <v>29</v>
      </c>
      <c r="AA1" s="11"/>
      <c r="AB1" s="11"/>
      <c r="AC1" s="11"/>
      <c r="AD1" s="10" t="s">
        <v>30</v>
      </c>
      <c r="AE1" s="11"/>
      <c r="AF1" s="11"/>
      <c r="AG1" s="11"/>
      <c r="AH1" s="10" t="s">
        <v>31</v>
      </c>
      <c r="AI1" s="11"/>
      <c r="AJ1" s="11"/>
      <c r="AK1" s="11"/>
      <c r="AL1" s="10" t="s">
        <v>32</v>
      </c>
      <c r="AM1" s="11"/>
      <c r="AN1" s="11"/>
      <c r="AO1" s="11"/>
      <c r="AP1" s="10" t="s">
        <v>33</v>
      </c>
      <c r="AQ1" s="11"/>
      <c r="AR1" s="11"/>
      <c r="AS1" s="11"/>
      <c r="AT1" s="10" t="s">
        <v>34</v>
      </c>
      <c r="AU1" s="11"/>
      <c r="AV1" s="11"/>
      <c r="AW1" s="11"/>
      <c r="AX1" s="10" t="s">
        <v>35</v>
      </c>
      <c r="AY1" s="11"/>
      <c r="AZ1" s="11"/>
      <c r="BA1" s="11"/>
      <c r="BB1" s="10" t="s">
        <v>36</v>
      </c>
      <c r="BC1" s="11"/>
      <c r="BD1" s="11"/>
      <c r="BE1" s="11"/>
      <c r="BF1" s="10" t="s">
        <v>37</v>
      </c>
      <c r="BG1" s="11"/>
      <c r="BH1" s="11"/>
      <c r="BI1" s="11"/>
      <c r="BJ1" s="10" t="s">
        <v>38</v>
      </c>
      <c r="BK1" s="11"/>
      <c r="BL1" s="11"/>
      <c r="BM1" s="11"/>
      <c r="BN1" s="10" t="s">
        <v>39</v>
      </c>
      <c r="BO1" s="11"/>
      <c r="BP1" s="11"/>
      <c r="BQ1" s="11"/>
      <c r="BR1" s="10" t="s">
        <v>40</v>
      </c>
      <c r="BS1" s="11"/>
      <c r="BT1" s="11"/>
      <c r="BU1" s="11"/>
      <c r="BV1" s="8"/>
      <c r="BW1" s="9"/>
      <c r="BX1" s="9"/>
      <c r="BY1" s="9"/>
    </row>
    <row r="2" spans="1:77" x14ac:dyDescent="0.55000000000000004">
      <c r="A2" s="1"/>
      <c r="B2" s="3" t="s">
        <v>8</v>
      </c>
      <c r="C2" s="4" t="s">
        <v>9</v>
      </c>
      <c r="D2" s="5" t="s">
        <v>10</v>
      </c>
      <c r="E2" s="6" t="s">
        <v>11</v>
      </c>
      <c r="F2" s="3" t="s">
        <v>8</v>
      </c>
      <c r="G2" s="4" t="s">
        <v>9</v>
      </c>
      <c r="H2" s="5" t="s">
        <v>10</v>
      </c>
      <c r="I2" s="6" t="s">
        <v>11</v>
      </c>
      <c r="J2" s="3" t="s">
        <v>8</v>
      </c>
      <c r="K2" s="4" t="s">
        <v>9</v>
      </c>
      <c r="L2" s="5" t="s">
        <v>10</v>
      </c>
      <c r="M2" s="6" t="s">
        <v>11</v>
      </c>
      <c r="N2" s="3" t="s">
        <v>8</v>
      </c>
      <c r="O2" s="4" t="s">
        <v>9</v>
      </c>
      <c r="P2" s="5" t="s">
        <v>10</v>
      </c>
      <c r="Q2" s="6" t="s">
        <v>11</v>
      </c>
      <c r="R2" s="3" t="s">
        <v>8</v>
      </c>
      <c r="S2" s="4" t="s">
        <v>9</v>
      </c>
      <c r="T2" s="5" t="s">
        <v>10</v>
      </c>
      <c r="U2" s="6" t="s">
        <v>11</v>
      </c>
      <c r="V2" s="3" t="s">
        <v>8</v>
      </c>
      <c r="W2" s="4" t="s">
        <v>9</v>
      </c>
      <c r="X2" s="5" t="s">
        <v>10</v>
      </c>
      <c r="Y2" s="6" t="s">
        <v>11</v>
      </c>
      <c r="Z2" s="3" t="s">
        <v>8</v>
      </c>
      <c r="AA2" s="4" t="s">
        <v>9</v>
      </c>
      <c r="AB2" s="5" t="s">
        <v>10</v>
      </c>
      <c r="AC2" s="6" t="s">
        <v>11</v>
      </c>
      <c r="AD2" s="3" t="s">
        <v>8</v>
      </c>
      <c r="AE2" s="4" t="s">
        <v>9</v>
      </c>
      <c r="AF2" s="5" t="s">
        <v>10</v>
      </c>
      <c r="AG2" s="6" t="s">
        <v>11</v>
      </c>
      <c r="AH2" s="3" t="s">
        <v>8</v>
      </c>
      <c r="AI2" s="4" t="s">
        <v>9</v>
      </c>
      <c r="AJ2" s="5" t="s">
        <v>10</v>
      </c>
      <c r="AK2" s="6" t="s">
        <v>11</v>
      </c>
      <c r="AL2" s="3" t="s">
        <v>8</v>
      </c>
      <c r="AM2" s="4" t="s">
        <v>9</v>
      </c>
      <c r="AN2" s="5" t="s">
        <v>10</v>
      </c>
      <c r="AO2" s="6" t="s">
        <v>11</v>
      </c>
      <c r="AP2" s="3" t="s">
        <v>8</v>
      </c>
      <c r="AQ2" s="4" t="s">
        <v>9</v>
      </c>
      <c r="AR2" s="5" t="s">
        <v>10</v>
      </c>
      <c r="AS2" s="6" t="s">
        <v>11</v>
      </c>
      <c r="AT2" s="3" t="s">
        <v>8</v>
      </c>
      <c r="AU2" s="4" t="s">
        <v>9</v>
      </c>
      <c r="AV2" s="5" t="s">
        <v>10</v>
      </c>
      <c r="AW2" s="6" t="s">
        <v>11</v>
      </c>
      <c r="AX2" s="3" t="s">
        <v>8</v>
      </c>
      <c r="AY2" s="4" t="s">
        <v>9</v>
      </c>
      <c r="AZ2" s="5" t="s">
        <v>10</v>
      </c>
      <c r="BA2" s="6" t="s">
        <v>11</v>
      </c>
      <c r="BB2" s="3" t="s">
        <v>8</v>
      </c>
      <c r="BC2" s="4" t="s">
        <v>9</v>
      </c>
      <c r="BD2" s="5" t="s">
        <v>10</v>
      </c>
      <c r="BE2" s="6" t="s">
        <v>11</v>
      </c>
      <c r="BF2" s="3" t="s">
        <v>8</v>
      </c>
      <c r="BG2" s="4" t="s">
        <v>9</v>
      </c>
      <c r="BH2" s="5" t="s">
        <v>10</v>
      </c>
      <c r="BI2" s="6" t="s">
        <v>11</v>
      </c>
      <c r="BJ2" s="3" t="s">
        <v>8</v>
      </c>
      <c r="BK2" s="4" t="s">
        <v>9</v>
      </c>
      <c r="BL2" s="5" t="s">
        <v>10</v>
      </c>
      <c r="BM2" s="6" t="s">
        <v>11</v>
      </c>
      <c r="BN2" s="3" t="s">
        <v>8</v>
      </c>
      <c r="BO2" s="4" t="s">
        <v>9</v>
      </c>
      <c r="BP2" s="5" t="s">
        <v>10</v>
      </c>
      <c r="BQ2" s="6" t="s">
        <v>11</v>
      </c>
      <c r="BR2" s="3" t="s">
        <v>8</v>
      </c>
      <c r="BS2" s="4" t="s">
        <v>9</v>
      </c>
      <c r="BT2" s="5" t="s">
        <v>10</v>
      </c>
      <c r="BU2" s="6" t="s">
        <v>11</v>
      </c>
    </row>
    <row r="3" spans="1:77" x14ac:dyDescent="0.55000000000000004">
      <c r="A3" s="1" t="s">
        <v>0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5</v>
      </c>
      <c r="H3" s="1">
        <v>2</v>
      </c>
      <c r="I3" s="1">
        <v>1</v>
      </c>
      <c r="J3" s="1">
        <v>1</v>
      </c>
      <c r="K3" s="1">
        <v>2</v>
      </c>
      <c r="L3" s="1">
        <v>2</v>
      </c>
      <c r="M3" s="1">
        <v>0</v>
      </c>
      <c r="N3" s="1">
        <v>0</v>
      </c>
      <c r="O3" s="1">
        <v>2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2</v>
      </c>
      <c r="AV3" s="1">
        <v>1</v>
      </c>
      <c r="AW3" s="1">
        <v>0</v>
      </c>
      <c r="AX3" s="1">
        <v>1</v>
      </c>
      <c r="AY3" s="1">
        <v>1</v>
      </c>
      <c r="AZ3" s="1">
        <v>1</v>
      </c>
      <c r="BA3" s="1">
        <v>0</v>
      </c>
      <c r="BB3" s="1">
        <v>0</v>
      </c>
      <c r="BC3" s="1">
        <v>2</v>
      </c>
      <c r="BD3" s="1">
        <v>1</v>
      </c>
      <c r="BE3" s="1">
        <v>1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3</v>
      </c>
      <c r="BL3" s="1">
        <v>1</v>
      </c>
      <c r="BM3" s="1">
        <v>0</v>
      </c>
      <c r="BN3" s="1">
        <v>0</v>
      </c>
      <c r="BO3" s="1">
        <v>1</v>
      </c>
      <c r="BP3" s="1">
        <v>0</v>
      </c>
      <c r="BQ3" s="1">
        <v>0</v>
      </c>
      <c r="BR3" s="1">
        <v>0</v>
      </c>
      <c r="BS3" s="1">
        <v>0</v>
      </c>
      <c r="BT3" s="1">
        <v>1</v>
      </c>
      <c r="BU3" s="1">
        <v>0</v>
      </c>
      <c r="BV3" t="s">
        <v>0</v>
      </c>
    </row>
    <row r="4" spans="1:77" x14ac:dyDescent="0.55000000000000004">
      <c r="A4" s="1" t="s">
        <v>1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5</v>
      </c>
      <c r="H4" s="1">
        <v>2</v>
      </c>
      <c r="I4" s="1">
        <v>1</v>
      </c>
      <c r="J4" s="1">
        <v>1</v>
      </c>
      <c r="K4" s="1">
        <v>3</v>
      </c>
      <c r="L4" s="1">
        <v>2</v>
      </c>
      <c r="M4" s="1">
        <v>0</v>
      </c>
      <c r="N4" s="1">
        <v>0</v>
      </c>
      <c r="O4" s="1">
        <v>2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1</v>
      </c>
      <c r="AW4" s="1">
        <v>0</v>
      </c>
      <c r="AX4" s="1">
        <v>1</v>
      </c>
      <c r="AY4" s="1">
        <v>1</v>
      </c>
      <c r="AZ4" s="1">
        <v>1</v>
      </c>
      <c r="BA4" s="1">
        <v>0</v>
      </c>
      <c r="BB4" s="1">
        <v>0</v>
      </c>
      <c r="BC4" s="1">
        <v>2</v>
      </c>
      <c r="BD4" s="1">
        <v>1</v>
      </c>
      <c r="BE4" s="1">
        <v>1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4</v>
      </c>
      <c r="BL4" s="1">
        <v>1</v>
      </c>
      <c r="BM4" s="1">
        <v>0</v>
      </c>
      <c r="BN4" s="1">
        <v>0</v>
      </c>
      <c r="BO4" s="1">
        <v>2</v>
      </c>
      <c r="BP4" s="1">
        <v>0</v>
      </c>
      <c r="BQ4" s="1">
        <v>0</v>
      </c>
      <c r="BR4" s="1">
        <v>0</v>
      </c>
      <c r="BS4" s="1">
        <v>0</v>
      </c>
      <c r="BT4" s="1">
        <v>1</v>
      </c>
      <c r="BU4" s="1">
        <v>0</v>
      </c>
      <c r="BV4" t="s">
        <v>1</v>
      </c>
    </row>
    <row r="5" spans="1:77" x14ac:dyDescent="0.55000000000000004">
      <c r="A5" s="1" t="s">
        <v>2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5</v>
      </c>
      <c r="H5" s="1">
        <v>2</v>
      </c>
      <c r="I5" s="1">
        <v>1</v>
      </c>
      <c r="J5" s="1">
        <v>1</v>
      </c>
      <c r="K5" s="1">
        <v>3</v>
      </c>
      <c r="L5" s="1">
        <v>2</v>
      </c>
      <c r="M5" s="1">
        <v>0</v>
      </c>
      <c r="N5" s="1">
        <v>0</v>
      </c>
      <c r="O5" s="1">
        <v>2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2</v>
      </c>
      <c r="AV5" s="1">
        <v>1</v>
      </c>
      <c r="AW5" s="1">
        <v>0</v>
      </c>
      <c r="AX5" s="1">
        <v>1</v>
      </c>
      <c r="AY5" s="1">
        <v>2</v>
      </c>
      <c r="AZ5" s="1">
        <v>0</v>
      </c>
      <c r="BA5" s="1">
        <v>0</v>
      </c>
      <c r="BB5" s="1">
        <v>0</v>
      </c>
      <c r="BC5" s="1">
        <v>2</v>
      </c>
      <c r="BD5" s="1">
        <v>1</v>
      </c>
      <c r="BE5" s="1">
        <v>1</v>
      </c>
      <c r="BF5" s="1">
        <v>0</v>
      </c>
      <c r="BG5" s="1">
        <v>1</v>
      </c>
      <c r="BH5" s="1">
        <v>0</v>
      </c>
      <c r="BI5" s="1">
        <v>0</v>
      </c>
      <c r="BJ5" s="1">
        <v>0</v>
      </c>
      <c r="BK5" s="1">
        <v>3</v>
      </c>
      <c r="BL5" s="1">
        <v>1</v>
      </c>
      <c r="BM5" s="1">
        <v>0</v>
      </c>
      <c r="BN5" s="1">
        <v>0</v>
      </c>
      <c r="BO5" s="1">
        <v>1</v>
      </c>
      <c r="BP5" s="1">
        <v>0</v>
      </c>
      <c r="BQ5" s="1">
        <v>0</v>
      </c>
      <c r="BR5" s="1">
        <v>0</v>
      </c>
      <c r="BS5" s="1">
        <v>0</v>
      </c>
      <c r="BT5" s="1">
        <v>1</v>
      </c>
      <c r="BU5" s="1">
        <v>0</v>
      </c>
      <c r="BV5" t="s">
        <v>2</v>
      </c>
    </row>
    <row r="6" spans="1:77" x14ac:dyDescent="0.55000000000000004">
      <c r="A6" s="1" t="s">
        <v>3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5</v>
      </c>
      <c r="H6" s="1">
        <v>2</v>
      </c>
      <c r="I6" s="1">
        <v>1</v>
      </c>
      <c r="J6" s="1">
        <v>1</v>
      </c>
      <c r="K6" s="1">
        <v>2</v>
      </c>
      <c r="L6" s="1">
        <v>2</v>
      </c>
      <c r="M6" s="1">
        <v>0</v>
      </c>
      <c r="N6" s="1">
        <v>0</v>
      </c>
      <c r="O6" s="1">
        <v>2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</v>
      </c>
      <c r="AV6" s="1">
        <v>1</v>
      </c>
      <c r="AW6" s="1">
        <v>0</v>
      </c>
      <c r="AX6" s="1">
        <v>1</v>
      </c>
      <c r="AY6" s="1">
        <v>1</v>
      </c>
      <c r="AZ6" s="1">
        <v>0</v>
      </c>
      <c r="BA6" s="1">
        <v>0</v>
      </c>
      <c r="BB6" s="1">
        <v>0</v>
      </c>
      <c r="BC6" s="1">
        <v>2</v>
      </c>
      <c r="BD6" s="1">
        <v>1</v>
      </c>
      <c r="BE6" s="1">
        <v>1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3</v>
      </c>
      <c r="BL6" s="1">
        <v>1</v>
      </c>
      <c r="BM6" s="1">
        <v>0</v>
      </c>
      <c r="BN6" s="1">
        <v>0</v>
      </c>
      <c r="BO6" s="1">
        <v>2</v>
      </c>
      <c r="BP6" s="1">
        <v>0</v>
      </c>
      <c r="BQ6" s="1">
        <v>0</v>
      </c>
      <c r="BR6" s="1">
        <v>0</v>
      </c>
      <c r="BS6" s="1">
        <v>0</v>
      </c>
      <c r="BT6" s="1">
        <v>1</v>
      </c>
      <c r="BU6" s="1">
        <v>0</v>
      </c>
      <c r="BV6" t="s">
        <v>3</v>
      </c>
    </row>
    <row r="7" spans="1:77" x14ac:dyDescent="0.55000000000000004">
      <c r="A7" s="1" t="s">
        <v>4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5</v>
      </c>
      <c r="H7" s="1">
        <v>2</v>
      </c>
      <c r="I7" s="1">
        <v>1</v>
      </c>
      <c r="J7" s="1">
        <v>1</v>
      </c>
      <c r="K7" s="1">
        <v>5</v>
      </c>
      <c r="L7" s="1">
        <v>2</v>
      </c>
      <c r="M7" s="1">
        <v>0</v>
      </c>
      <c r="N7" s="1">
        <v>0</v>
      </c>
      <c r="O7" s="1">
        <v>2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2</v>
      </c>
      <c r="AV7" s="1">
        <v>1</v>
      </c>
      <c r="AW7" s="1">
        <v>0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2</v>
      </c>
      <c r="BD7" s="1">
        <v>1</v>
      </c>
      <c r="BE7" s="1">
        <v>1</v>
      </c>
      <c r="BF7" s="1">
        <v>0</v>
      </c>
      <c r="BG7" s="1">
        <v>1</v>
      </c>
      <c r="BH7" s="1">
        <v>0</v>
      </c>
      <c r="BI7" s="1">
        <v>0</v>
      </c>
      <c r="BJ7" s="1">
        <v>0</v>
      </c>
      <c r="BK7" s="1">
        <v>4</v>
      </c>
      <c r="BL7" s="1">
        <v>1</v>
      </c>
      <c r="BM7" s="1">
        <v>0</v>
      </c>
      <c r="BN7" s="1">
        <v>0</v>
      </c>
      <c r="BO7" s="1">
        <v>2</v>
      </c>
      <c r="BP7" s="1">
        <v>0</v>
      </c>
      <c r="BQ7" s="1">
        <v>0</v>
      </c>
      <c r="BR7" s="1">
        <v>0</v>
      </c>
      <c r="BS7" s="1">
        <v>0</v>
      </c>
      <c r="BT7" s="1">
        <v>1</v>
      </c>
      <c r="BU7" s="1">
        <v>0</v>
      </c>
      <c r="BV7" t="s">
        <v>4</v>
      </c>
    </row>
    <row r="8" spans="1:77" x14ac:dyDescent="0.55000000000000004">
      <c r="A8" s="1" t="s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2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1</v>
      </c>
      <c r="BF8" s="1">
        <v>0</v>
      </c>
      <c r="BG8" s="1">
        <v>1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t="s">
        <v>5</v>
      </c>
    </row>
    <row r="9" spans="1:77" x14ac:dyDescent="0.55000000000000004">
      <c r="A9" s="1" t="s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</v>
      </c>
      <c r="BD9" s="1">
        <v>0</v>
      </c>
      <c r="BE9" s="1">
        <v>1</v>
      </c>
      <c r="BF9" s="1">
        <v>0</v>
      </c>
      <c r="BG9" s="1">
        <v>1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t="s">
        <v>6</v>
      </c>
      <c r="BW9" t="s">
        <v>12</v>
      </c>
      <c r="BX9" t="s">
        <v>7</v>
      </c>
      <c r="BY9" t="s">
        <v>13</v>
      </c>
    </row>
    <row r="10" spans="1:77" x14ac:dyDescent="0.55000000000000004">
      <c r="A10" s="1" t="s">
        <v>17</v>
      </c>
      <c r="B10" s="1">
        <f>AVERAGE(B3:B7)</f>
        <v>0</v>
      </c>
      <c r="C10" s="1">
        <f t="shared" ref="C10:BN10" si="0">AVERAGE(C3:C7)</f>
        <v>1</v>
      </c>
      <c r="D10" s="1">
        <f t="shared" si="0"/>
        <v>0</v>
      </c>
      <c r="E10" s="1">
        <f t="shared" si="0"/>
        <v>0</v>
      </c>
      <c r="F10" s="1">
        <f t="shared" si="0"/>
        <v>0</v>
      </c>
      <c r="G10" s="1">
        <f t="shared" si="0"/>
        <v>5</v>
      </c>
      <c r="H10" s="1">
        <f t="shared" si="0"/>
        <v>2</v>
      </c>
      <c r="I10" s="1">
        <f t="shared" si="0"/>
        <v>1</v>
      </c>
      <c r="J10" s="1">
        <f t="shared" si="0"/>
        <v>1</v>
      </c>
      <c r="K10" s="1">
        <f t="shared" si="0"/>
        <v>3</v>
      </c>
      <c r="L10" s="1">
        <f t="shared" si="0"/>
        <v>2</v>
      </c>
      <c r="M10" s="1">
        <f t="shared" si="0"/>
        <v>0</v>
      </c>
      <c r="N10" s="1">
        <f t="shared" si="0"/>
        <v>0</v>
      </c>
      <c r="O10" s="1">
        <f t="shared" si="0"/>
        <v>2</v>
      </c>
      <c r="P10" s="1">
        <f t="shared" si="0"/>
        <v>0.6</v>
      </c>
      <c r="Q10" s="1">
        <f t="shared" si="0"/>
        <v>0</v>
      </c>
      <c r="R10" s="1">
        <f t="shared" si="0"/>
        <v>0</v>
      </c>
      <c r="S10" s="1">
        <f t="shared" si="0"/>
        <v>0</v>
      </c>
      <c r="T10" s="1">
        <f t="shared" si="0"/>
        <v>0</v>
      </c>
      <c r="U10" s="1">
        <f t="shared" si="0"/>
        <v>0</v>
      </c>
      <c r="V10" s="1">
        <f t="shared" si="0"/>
        <v>0</v>
      </c>
      <c r="W10" s="1">
        <f t="shared" si="0"/>
        <v>0</v>
      </c>
      <c r="X10" s="1">
        <f t="shared" si="0"/>
        <v>0</v>
      </c>
      <c r="Y10" s="1">
        <f t="shared" si="0"/>
        <v>0</v>
      </c>
      <c r="Z10" s="1">
        <f t="shared" si="0"/>
        <v>0</v>
      </c>
      <c r="AA10" s="1">
        <f t="shared" si="0"/>
        <v>0</v>
      </c>
      <c r="AB10" s="1">
        <f t="shared" si="0"/>
        <v>0</v>
      </c>
      <c r="AC10" s="1">
        <f t="shared" si="0"/>
        <v>0</v>
      </c>
      <c r="AD10" s="1">
        <f t="shared" si="0"/>
        <v>0</v>
      </c>
      <c r="AE10" s="1">
        <f t="shared" si="0"/>
        <v>0</v>
      </c>
      <c r="AF10" s="1">
        <f t="shared" si="0"/>
        <v>0</v>
      </c>
      <c r="AG10" s="1">
        <f t="shared" si="0"/>
        <v>0</v>
      </c>
      <c r="AH10" s="1">
        <f t="shared" si="0"/>
        <v>0</v>
      </c>
      <c r="AI10" s="1">
        <f t="shared" si="0"/>
        <v>0</v>
      </c>
      <c r="AJ10" s="1">
        <f t="shared" si="0"/>
        <v>0</v>
      </c>
      <c r="AK10" s="1">
        <f t="shared" si="0"/>
        <v>0</v>
      </c>
      <c r="AL10" s="1">
        <f t="shared" si="0"/>
        <v>0</v>
      </c>
      <c r="AM10" s="1">
        <f t="shared" si="0"/>
        <v>0</v>
      </c>
      <c r="AN10" s="1">
        <f t="shared" si="0"/>
        <v>0</v>
      </c>
      <c r="AO10" s="1">
        <f t="shared" si="0"/>
        <v>0</v>
      </c>
      <c r="AP10" s="1">
        <f t="shared" si="0"/>
        <v>0</v>
      </c>
      <c r="AQ10" s="1">
        <f t="shared" si="0"/>
        <v>0</v>
      </c>
      <c r="AR10" s="1">
        <f t="shared" si="0"/>
        <v>0</v>
      </c>
      <c r="AS10" s="1">
        <f t="shared" si="0"/>
        <v>0</v>
      </c>
      <c r="AT10" s="1">
        <f t="shared" si="0"/>
        <v>0</v>
      </c>
      <c r="AU10" s="1">
        <f t="shared" si="0"/>
        <v>1.6</v>
      </c>
      <c r="AV10" s="1">
        <f t="shared" si="0"/>
        <v>1</v>
      </c>
      <c r="AW10" s="1">
        <f t="shared" si="0"/>
        <v>0</v>
      </c>
      <c r="AX10" s="1">
        <f t="shared" si="0"/>
        <v>1</v>
      </c>
      <c r="AY10" s="1">
        <f t="shared" si="0"/>
        <v>1.4</v>
      </c>
      <c r="AZ10" s="1">
        <f t="shared" si="0"/>
        <v>0.6</v>
      </c>
      <c r="BA10" s="1">
        <f t="shared" si="0"/>
        <v>0</v>
      </c>
      <c r="BB10" s="1">
        <f t="shared" si="0"/>
        <v>0</v>
      </c>
      <c r="BC10" s="1">
        <f t="shared" si="0"/>
        <v>2</v>
      </c>
      <c r="BD10" s="1">
        <f t="shared" si="0"/>
        <v>1</v>
      </c>
      <c r="BE10" s="1">
        <f t="shared" si="0"/>
        <v>1</v>
      </c>
      <c r="BF10" s="1">
        <f t="shared" si="0"/>
        <v>0</v>
      </c>
      <c r="BG10" s="1">
        <f t="shared" si="0"/>
        <v>1</v>
      </c>
      <c r="BH10" s="1">
        <f t="shared" si="0"/>
        <v>0</v>
      </c>
      <c r="BI10" s="1">
        <f t="shared" si="0"/>
        <v>0</v>
      </c>
      <c r="BJ10" s="1">
        <f t="shared" si="0"/>
        <v>0</v>
      </c>
      <c r="BK10" s="1">
        <f t="shared" si="0"/>
        <v>3.4</v>
      </c>
      <c r="BL10" s="1">
        <f t="shared" si="0"/>
        <v>1</v>
      </c>
      <c r="BM10" s="1">
        <f t="shared" si="0"/>
        <v>0</v>
      </c>
      <c r="BN10" s="1">
        <f t="shared" si="0"/>
        <v>0</v>
      </c>
      <c r="BO10" s="1">
        <f t="shared" ref="BO10:BU10" si="1">AVERAGE(BO3:BO7)</f>
        <v>1.6</v>
      </c>
      <c r="BP10" s="1">
        <f t="shared" si="1"/>
        <v>0</v>
      </c>
      <c r="BQ10" s="1">
        <f t="shared" si="1"/>
        <v>0</v>
      </c>
      <c r="BR10" s="1">
        <f t="shared" si="1"/>
        <v>0</v>
      </c>
      <c r="BS10" s="1">
        <f t="shared" si="1"/>
        <v>0</v>
      </c>
      <c r="BT10" s="1">
        <f t="shared" si="1"/>
        <v>1</v>
      </c>
      <c r="BU10" s="1">
        <f t="shared" si="1"/>
        <v>0</v>
      </c>
      <c r="BW10" t="s">
        <v>14</v>
      </c>
      <c r="BX10" t="s">
        <v>15</v>
      </c>
      <c r="BY10" t="s">
        <v>13</v>
      </c>
    </row>
    <row r="11" spans="1:77" x14ac:dyDescent="0.55000000000000004">
      <c r="A11" s="1" t="s">
        <v>61</v>
      </c>
      <c r="B11" s="7">
        <f>SUM(B10:C10)</f>
        <v>1</v>
      </c>
      <c r="C11" s="7"/>
      <c r="D11" s="7"/>
      <c r="E11" s="7"/>
      <c r="F11" s="7">
        <f>SUM(F10:G10)</f>
        <v>5</v>
      </c>
      <c r="G11" s="7"/>
      <c r="H11" s="7"/>
      <c r="I11" s="7"/>
      <c r="J11" s="7">
        <f t="shared" ref="J11" si="2">SUM(J10:K10)</f>
        <v>4</v>
      </c>
      <c r="K11" s="7"/>
      <c r="L11" s="7"/>
      <c r="M11" s="7"/>
      <c r="N11" s="7">
        <f t="shared" ref="N11" si="3">SUM(N10:O10)</f>
        <v>2</v>
      </c>
      <c r="O11" s="7"/>
      <c r="P11" s="7"/>
      <c r="Q11" s="7"/>
      <c r="R11" s="7">
        <f t="shared" ref="R11" si="4">SUM(R10:S10)</f>
        <v>0</v>
      </c>
      <c r="S11" s="7"/>
      <c r="T11" s="7"/>
      <c r="U11" s="7"/>
      <c r="V11" s="7">
        <f t="shared" ref="V11" si="5">SUM(V10:W10)</f>
        <v>0</v>
      </c>
      <c r="W11" s="7"/>
      <c r="X11" s="7"/>
      <c r="Y11" s="7"/>
      <c r="Z11" s="7">
        <f t="shared" ref="Z11" si="6">SUM(Z10:AA10)</f>
        <v>0</v>
      </c>
      <c r="AA11" s="7"/>
      <c r="AB11" s="7"/>
      <c r="AC11" s="7"/>
      <c r="AD11" s="7">
        <f t="shared" ref="AD11" si="7">SUM(AD10:AE10)</f>
        <v>0</v>
      </c>
      <c r="AE11" s="7"/>
      <c r="AF11" s="7"/>
      <c r="AG11" s="7"/>
      <c r="AH11" s="7">
        <f t="shared" ref="AH11" si="8">SUM(AH10:AI10)</f>
        <v>0</v>
      </c>
      <c r="AI11" s="7"/>
      <c r="AJ11" s="7"/>
      <c r="AK11" s="7"/>
      <c r="AL11" s="7">
        <f t="shared" ref="AL11" si="9">SUM(AL10:AM10)</f>
        <v>0</v>
      </c>
      <c r="AM11" s="7"/>
      <c r="AN11" s="7"/>
      <c r="AO11" s="7"/>
      <c r="AP11" s="7">
        <f t="shared" ref="AP11" si="10">SUM(AP10:AQ10)</f>
        <v>0</v>
      </c>
      <c r="AQ11" s="7"/>
      <c r="AR11" s="7"/>
      <c r="AS11" s="7"/>
      <c r="AT11" s="7">
        <f t="shared" ref="AT11" si="11">SUM(AT10:AU10)</f>
        <v>1.6</v>
      </c>
      <c r="AU11" s="7"/>
      <c r="AV11" s="7"/>
      <c r="AW11" s="7"/>
      <c r="AX11" s="7">
        <f t="shared" ref="AX11" si="12">SUM(AX10:AY10)</f>
        <v>2.4</v>
      </c>
      <c r="AY11" s="7"/>
      <c r="AZ11" s="7"/>
      <c r="BA11" s="7"/>
      <c r="BB11" s="7">
        <f t="shared" ref="BB11" si="13">SUM(BB10:BC10)</f>
        <v>2</v>
      </c>
      <c r="BC11" s="7"/>
      <c r="BD11" s="7"/>
      <c r="BE11" s="7"/>
      <c r="BF11" s="7">
        <f t="shared" ref="BF11" si="14">SUM(BF10:BG10)</f>
        <v>1</v>
      </c>
      <c r="BG11" s="7"/>
      <c r="BH11" s="7"/>
      <c r="BI11" s="7"/>
      <c r="BJ11" s="7">
        <f t="shared" ref="BJ11" si="15">SUM(BJ10:BK10)</f>
        <v>3.4</v>
      </c>
      <c r="BK11" s="7"/>
      <c r="BL11" s="7"/>
      <c r="BM11" s="7"/>
      <c r="BN11" s="7">
        <f t="shared" ref="BN11" si="16">SUM(BN10:BO10)</f>
        <v>1.6</v>
      </c>
      <c r="BO11" s="7"/>
      <c r="BP11" s="7"/>
      <c r="BQ11" s="7"/>
      <c r="BR11" s="7">
        <f t="shared" ref="BR11" si="17">SUM(BR10:BS10)</f>
        <v>0</v>
      </c>
      <c r="BS11" s="7"/>
      <c r="BT11" s="7"/>
      <c r="BU11" s="7"/>
      <c r="BW11" t="s">
        <v>19</v>
      </c>
      <c r="BX11" t="s">
        <v>16</v>
      </c>
    </row>
    <row r="12" spans="1:77" x14ac:dyDescent="0.55000000000000004">
      <c r="A12" s="2" t="s">
        <v>18</v>
      </c>
      <c r="B12" s="1">
        <f>AVERAGE(B8:B9)</f>
        <v>0</v>
      </c>
      <c r="C12" s="1">
        <f t="shared" ref="C12:BN12" si="18">AVERAGE(C8:C9)</f>
        <v>0</v>
      </c>
      <c r="D12" s="1">
        <f t="shared" si="18"/>
        <v>0</v>
      </c>
      <c r="E12" s="1">
        <f t="shared" si="18"/>
        <v>0</v>
      </c>
      <c r="F12" s="1">
        <f t="shared" si="18"/>
        <v>0</v>
      </c>
      <c r="G12" s="1">
        <f t="shared" si="18"/>
        <v>2</v>
      </c>
      <c r="H12" s="1">
        <f t="shared" si="18"/>
        <v>0.5</v>
      </c>
      <c r="I12" s="1">
        <f t="shared" si="18"/>
        <v>1</v>
      </c>
      <c r="J12" s="1">
        <f t="shared" si="18"/>
        <v>0</v>
      </c>
      <c r="K12" s="1">
        <f t="shared" si="18"/>
        <v>0</v>
      </c>
      <c r="L12" s="1">
        <f t="shared" si="18"/>
        <v>0</v>
      </c>
      <c r="M12" s="1">
        <f t="shared" si="18"/>
        <v>0</v>
      </c>
      <c r="N12" s="1">
        <f t="shared" si="18"/>
        <v>0</v>
      </c>
      <c r="O12" s="1">
        <f t="shared" si="18"/>
        <v>0</v>
      </c>
      <c r="P12" s="1">
        <f t="shared" si="18"/>
        <v>0</v>
      </c>
      <c r="Q12" s="1">
        <f t="shared" si="18"/>
        <v>0</v>
      </c>
      <c r="R12" s="1">
        <f t="shared" si="18"/>
        <v>0</v>
      </c>
      <c r="S12" s="1">
        <f t="shared" si="18"/>
        <v>0</v>
      </c>
      <c r="T12" s="1">
        <f t="shared" si="18"/>
        <v>0</v>
      </c>
      <c r="U12" s="1">
        <f t="shared" si="18"/>
        <v>0</v>
      </c>
      <c r="V12" s="1">
        <f t="shared" si="18"/>
        <v>0</v>
      </c>
      <c r="W12" s="1">
        <f t="shared" si="18"/>
        <v>0</v>
      </c>
      <c r="X12" s="1">
        <f t="shared" si="18"/>
        <v>0</v>
      </c>
      <c r="Y12" s="1">
        <f t="shared" si="18"/>
        <v>0</v>
      </c>
      <c r="Z12" s="1">
        <f t="shared" si="18"/>
        <v>0</v>
      </c>
      <c r="AA12" s="1">
        <f t="shared" si="18"/>
        <v>0</v>
      </c>
      <c r="AB12" s="1">
        <f t="shared" si="18"/>
        <v>0</v>
      </c>
      <c r="AC12" s="1">
        <f t="shared" si="18"/>
        <v>0</v>
      </c>
      <c r="AD12" s="1">
        <f t="shared" si="18"/>
        <v>0</v>
      </c>
      <c r="AE12" s="1">
        <f t="shared" si="18"/>
        <v>0</v>
      </c>
      <c r="AF12" s="1">
        <f t="shared" si="18"/>
        <v>0</v>
      </c>
      <c r="AG12" s="1">
        <f t="shared" si="18"/>
        <v>0</v>
      </c>
      <c r="AH12" s="1">
        <f t="shared" si="18"/>
        <v>0</v>
      </c>
      <c r="AI12" s="1">
        <f t="shared" si="18"/>
        <v>0</v>
      </c>
      <c r="AJ12" s="1">
        <f t="shared" si="18"/>
        <v>0</v>
      </c>
      <c r="AK12" s="1">
        <f t="shared" si="18"/>
        <v>0</v>
      </c>
      <c r="AL12" s="1">
        <f t="shared" si="18"/>
        <v>0</v>
      </c>
      <c r="AM12" s="1">
        <f t="shared" si="18"/>
        <v>0</v>
      </c>
      <c r="AN12" s="1">
        <f t="shared" si="18"/>
        <v>0</v>
      </c>
      <c r="AO12" s="1">
        <f t="shared" si="18"/>
        <v>0</v>
      </c>
      <c r="AP12" s="1">
        <f t="shared" si="18"/>
        <v>0</v>
      </c>
      <c r="AQ12" s="1">
        <f t="shared" si="18"/>
        <v>0</v>
      </c>
      <c r="AR12" s="1">
        <f t="shared" si="18"/>
        <v>0</v>
      </c>
      <c r="AS12" s="1">
        <f t="shared" si="18"/>
        <v>0</v>
      </c>
      <c r="AT12" s="1">
        <f t="shared" si="18"/>
        <v>0</v>
      </c>
      <c r="AU12" s="1">
        <f t="shared" si="18"/>
        <v>0</v>
      </c>
      <c r="AV12" s="1">
        <f t="shared" si="18"/>
        <v>0</v>
      </c>
      <c r="AW12" s="1">
        <f t="shared" si="18"/>
        <v>0</v>
      </c>
      <c r="AX12" s="1">
        <f t="shared" si="18"/>
        <v>0</v>
      </c>
      <c r="AY12" s="1">
        <f t="shared" si="18"/>
        <v>0</v>
      </c>
      <c r="AZ12" s="1">
        <f t="shared" si="18"/>
        <v>0</v>
      </c>
      <c r="BA12" s="1">
        <f t="shared" si="18"/>
        <v>0</v>
      </c>
      <c r="BB12" s="1">
        <f t="shared" si="18"/>
        <v>0</v>
      </c>
      <c r="BC12" s="1">
        <f t="shared" si="18"/>
        <v>1</v>
      </c>
      <c r="BD12" s="1">
        <f t="shared" si="18"/>
        <v>0</v>
      </c>
      <c r="BE12" s="1">
        <f t="shared" si="18"/>
        <v>1</v>
      </c>
      <c r="BF12" s="1">
        <f t="shared" si="18"/>
        <v>0</v>
      </c>
      <c r="BG12" s="1">
        <f t="shared" si="18"/>
        <v>1</v>
      </c>
      <c r="BH12" s="1">
        <f t="shared" si="18"/>
        <v>0</v>
      </c>
      <c r="BI12" s="1">
        <f t="shared" si="18"/>
        <v>0</v>
      </c>
      <c r="BJ12" s="1">
        <f t="shared" si="18"/>
        <v>0</v>
      </c>
      <c r="BK12" s="1">
        <f t="shared" si="18"/>
        <v>1</v>
      </c>
      <c r="BL12" s="1">
        <f t="shared" si="18"/>
        <v>0</v>
      </c>
      <c r="BM12" s="1">
        <f t="shared" si="18"/>
        <v>0</v>
      </c>
      <c r="BN12" s="1">
        <f t="shared" si="18"/>
        <v>0</v>
      </c>
      <c r="BO12" s="1">
        <f t="shared" ref="BO12:BU12" si="19">AVERAGE(BO8:BO9)</f>
        <v>0</v>
      </c>
      <c r="BP12" s="1">
        <f t="shared" si="19"/>
        <v>0</v>
      </c>
      <c r="BQ12" s="1">
        <f t="shared" si="19"/>
        <v>0</v>
      </c>
      <c r="BR12" s="1">
        <f t="shared" si="19"/>
        <v>0</v>
      </c>
      <c r="BS12" s="1">
        <f t="shared" si="19"/>
        <v>0</v>
      </c>
      <c r="BT12" s="1">
        <f t="shared" si="19"/>
        <v>0</v>
      </c>
      <c r="BU12" s="1">
        <f t="shared" si="19"/>
        <v>0</v>
      </c>
      <c r="BW12" t="s">
        <v>20</v>
      </c>
      <c r="BX12" t="s">
        <v>21</v>
      </c>
    </row>
    <row r="13" spans="1:77" x14ac:dyDescent="0.55000000000000004">
      <c r="A13" s="2" t="s">
        <v>62</v>
      </c>
      <c r="B13" s="7">
        <f>SUM(B12:C12)</f>
        <v>0</v>
      </c>
      <c r="C13" s="7"/>
      <c r="D13" s="7"/>
      <c r="E13" s="7"/>
      <c r="F13" s="7">
        <f>SUM(F12:G12)</f>
        <v>2</v>
      </c>
      <c r="G13" s="7"/>
      <c r="H13" s="7"/>
      <c r="I13" s="7"/>
      <c r="J13" s="7">
        <f t="shared" ref="J13" si="20">SUM(J12:K12)</f>
        <v>0</v>
      </c>
      <c r="K13" s="7"/>
      <c r="L13" s="7"/>
      <c r="M13" s="7"/>
      <c r="N13" s="7">
        <f t="shared" ref="N13" si="21">SUM(N12:O12)</f>
        <v>0</v>
      </c>
      <c r="O13" s="7"/>
      <c r="P13" s="7"/>
      <c r="Q13" s="7"/>
      <c r="R13" s="7">
        <f t="shared" ref="R13" si="22">SUM(R12:S12)</f>
        <v>0</v>
      </c>
      <c r="S13" s="7"/>
      <c r="T13" s="7"/>
      <c r="U13" s="7"/>
      <c r="V13" s="7">
        <f t="shared" ref="V13" si="23">SUM(V12:W12)</f>
        <v>0</v>
      </c>
      <c r="W13" s="7"/>
      <c r="X13" s="7"/>
      <c r="Y13" s="7"/>
      <c r="Z13" s="7">
        <f t="shared" ref="Z13" si="24">SUM(Z12:AA12)</f>
        <v>0</v>
      </c>
      <c r="AA13" s="7"/>
      <c r="AB13" s="7"/>
      <c r="AC13" s="7"/>
      <c r="AD13" s="7">
        <f t="shared" ref="AD13" si="25">SUM(AD12:AE12)</f>
        <v>0</v>
      </c>
      <c r="AE13" s="7"/>
      <c r="AF13" s="7"/>
      <c r="AG13" s="7"/>
      <c r="AH13" s="7">
        <f t="shared" ref="AH13" si="26">SUM(AH12:AI12)</f>
        <v>0</v>
      </c>
      <c r="AI13" s="7"/>
      <c r="AJ13" s="7"/>
      <c r="AK13" s="7"/>
      <c r="AL13" s="7">
        <f t="shared" ref="AL13" si="27">SUM(AL12:AM12)</f>
        <v>0</v>
      </c>
      <c r="AM13" s="7"/>
      <c r="AN13" s="7"/>
      <c r="AO13" s="7"/>
      <c r="AP13" s="7">
        <f t="shared" ref="AP13" si="28">SUM(AP12:AQ12)</f>
        <v>0</v>
      </c>
      <c r="AQ13" s="7"/>
      <c r="AR13" s="7"/>
      <c r="AS13" s="7"/>
      <c r="AT13" s="7">
        <f t="shared" ref="AT13" si="29">SUM(AT12:AU12)</f>
        <v>0</v>
      </c>
      <c r="AU13" s="7"/>
      <c r="AV13" s="7"/>
      <c r="AW13" s="7"/>
      <c r="AX13" s="7">
        <f t="shared" ref="AX13" si="30">SUM(AX12:AY12)</f>
        <v>0</v>
      </c>
      <c r="AY13" s="7"/>
      <c r="AZ13" s="7"/>
      <c r="BA13" s="7"/>
      <c r="BB13" s="7">
        <f t="shared" ref="BB13" si="31">SUM(BB12:BC12)</f>
        <v>1</v>
      </c>
      <c r="BC13" s="7"/>
      <c r="BD13" s="7"/>
      <c r="BE13" s="7"/>
      <c r="BF13" s="7">
        <f t="shared" ref="BF13" si="32">SUM(BF12:BG12)</f>
        <v>1</v>
      </c>
      <c r="BG13" s="7"/>
      <c r="BH13" s="7"/>
      <c r="BI13" s="7"/>
      <c r="BJ13" s="7">
        <f t="shared" ref="BJ13" si="33">SUM(BJ12:BK12)</f>
        <v>1</v>
      </c>
      <c r="BK13" s="7"/>
      <c r="BL13" s="7"/>
      <c r="BM13" s="7"/>
      <c r="BN13" s="7">
        <f t="shared" ref="BN13" si="34">SUM(BN12:BO12)</f>
        <v>0</v>
      </c>
      <c r="BO13" s="7"/>
      <c r="BP13" s="7"/>
      <c r="BQ13" s="7"/>
      <c r="BR13" s="7">
        <f t="shared" ref="BR13" si="35">SUM(BR12:BS12)</f>
        <v>0</v>
      </c>
      <c r="BS13" s="7"/>
      <c r="BT13" s="7"/>
      <c r="BU13" s="7"/>
    </row>
    <row r="14" spans="1:77" x14ac:dyDescent="0.55000000000000004">
      <c r="A14" s="2" t="s">
        <v>60</v>
      </c>
      <c r="B14" s="7">
        <f>SUM(D10:E10)</f>
        <v>0</v>
      </c>
      <c r="C14" s="7"/>
      <c r="D14" s="7"/>
      <c r="E14" s="7"/>
      <c r="F14" s="7">
        <f>SUM(H10:I10)</f>
        <v>3</v>
      </c>
      <c r="G14" s="7"/>
      <c r="H14" s="7"/>
      <c r="I14" s="7"/>
      <c r="J14" s="7">
        <f t="shared" ref="J14" si="36">SUM(L10:M10)</f>
        <v>2</v>
      </c>
      <c r="K14" s="7"/>
      <c r="L14" s="7"/>
      <c r="M14" s="7"/>
      <c r="N14" s="7">
        <f t="shared" ref="N14" si="37">SUM(P10:Q10)</f>
        <v>0.6</v>
      </c>
      <c r="O14" s="7"/>
      <c r="P14" s="7"/>
      <c r="Q14" s="7"/>
      <c r="R14" s="7">
        <f t="shared" ref="R14" si="38">SUM(T10:U10)</f>
        <v>0</v>
      </c>
      <c r="S14" s="7"/>
      <c r="T14" s="7"/>
      <c r="U14" s="7"/>
      <c r="V14" s="7">
        <f t="shared" ref="V14" si="39">SUM(X10:Y10)</f>
        <v>0</v>
      </c>
      <c r="W14" s="7"/>
      <c r="X14" s="7"/>
      <c r="Y14" s="7"/>
      <c r="Z14" s="7">
        <f t="shared" ref="Z14" si="40">SUM(AB10:AC10)</f>
        <v>0</v>
      </c>
      <c r="AA14" s="7"/>
      <c r="AB14" s="7"/>
      <c r="AC14" s="7"/>
      <c r="AD14" s="7">
        <f t="shared" ref="AD14" si="41">SUM(AF10:AG10)</f>
        <v>0</v>
      </c>
      <c r="AE14" s="7"/>
      <c r="AF14" s="7"/>
      <c r="AG14" s="7"/>
      <c r="AH14" s="7">
        <f t="shared" ref="AH14" si="42">SUM(AJ10:AK10)</f>
        <v>0</v>
      </c>
      <c r="AI14" s="7"/>
      <c r="AJ14" s="7"/>
      <c r="AK14" s="7"/>
      <c r="AL14" s="7">
        <f t="shared" ref="AL14" si="43">SUM(AN10:AO10)</f>
        <v>0</v>
      </c>
      <c r="AM14" s="7"/>
      <c r="AN14" s="7"/>
      <c r="AO14" s="7"/>
      <c r="AP14" s="7">
        <f t="shared" ref="AP14" si="44">SUM(AR10:AS10)</f>
        <v>0</v>
      </c>
      <c r="AQ14" s="7"/>
      <c r="AR14" s="7"/>
      <c r="AS14" s="7"/>
      <c r="AT14" s="7">
        <f t="shared" ref="AT14" si="45">SUM(AV10:AW10)</f>
        <v>1</v>
      </c>
      <c r="AU14" s="7"/>
      <c r="AV14" s="7"/>
      <c r="AW14" s="7"/>
      <c r="AX14" s="7">
        <f t="shared" ref="AX14" si="46">SUM(AZ10:BA10)</f>
        <v>0.6</v>
      </c>
      <c r="AY14" s="7"/>
      <c r="AZ14" s="7"/>
      <c r="BA14" s="7"/>
      <c r="BB14" s="7">
        <f t="shared" ref="BB14" si="47">SUM(BD10:BE10)</f>
        <v>2</v>
      </c>
      <c r="BC14" s="7"/>
      <c r="BD14" s="7"/>
      <c r="BE14" s="7"/>
      <c r="BF14" s="7">
        <f t="shared" ref="BF14" si="48">SUM(BH10:BI10)</f>
        <v>0</v>
      </c>
      <c r="BG14" s="7"/>
      <c r="BH14" s="7"/>
      <c r="BI14" s="7"/>
      <c r="BJ14" s="7">
        <f t="shared" ref="BJ14" si="49">SUM(BL10:BM10)</f>
        <v>1</v>
      </c>
      <c r="BK14" s="7"/>
      <c r="BL14" s="7"/>
      <c r="BM14" s="7"/>
      <c r="BN14" s="7">
        <f t="shared" ref="BN14" si="50">SUM(BP10:BQ10)</f>
        <v>0</v>
      </c>
      <c r="BO14" s="7"/>
      <c r="BP14" s="7"/>
      <c r="BQ14" s="7"/>
      <c r="BR14" s="7">
        <f t="shared" ref="BR14" si="51">SUM(BT10:BU10)</f>
        <v>1</v>
      </c>
      <c r="BS14" s="7"/>
      <c r="BT14" s="7"/>
      <c r="BU14" s="7"/>
    </row>
    <row r="15" spans="1:77" x14ac:dyDescent="0.55000000000000004">
      <c r="A15" s="2" t="s">
        <v>63</v>
      </c>
      <c r="B15" s="7">
        <f>SUM(D12:E12)</f>
        <v>0</v>
      </c>
      <c r="C15" s="7"/>
      <c r="D15" s="7"/>
      <c r="E15" s="7"/>
      <c r="F15" s="7">
        <f t="shared" ref="F15" si="52">SUM(H12:I12)</f>
        <v>1.5</v>
      </c>
      <c r="G15" s="7"/>
      <c r="H15" s="7"/>
      <c r="I15" s="7"/>
      <c r="J15" s="7">
        <f t="shared" ref="J15" si="53">SUM(L12:M12)</f>
        <v>0</v>
      </c>
      <c r="K15" s="7"/>
      <c r="L15" s="7"/>
      <c r="M15" s="7"/>
      <c r="N15" s="7">
        <f t="shared" ref="N15" si="54">SUM(P12:Q12)</f>
        <v>0</v>
      </c>
      <c r="O15" s="7"/>
      <c r="P15" s="7"/>
      <c r="Q15" s="7"/>
      <c r="R15" s="7">
        <f t="shared" ref="R15" si="55">SUM(T12:U12)</f>
        <v>0</v>
      </c>
      <c r="S15" s="7"/>
      <c r="T15" s="7"/>
      <c r="U15" s="7"/>
      <c r="V15" s="7">
        <f t="shared" ref="V15" si="56">SUM(X12:Y12)</f>
        <v>0</v>
      </c>
      <c r="W15" s="7"/>
      <c r="X15" s="7"/>
      <c r="Y15" s="7"/>
      <c r="Z15" s="7">
        <f t="shared" ref="Z15" si="57">SUM(AB12:AC12)</f>
        <v>0</v>
      </c>
      <c r="AA15" s="7"/>
      <c r="AB15" s="7"/>
      <c r="AC15" s="7"/>
      <c r="AD15" s="7">
        <f t="shared" ref="AD15" si="58">SUM(AF12:AG12)</f>
        <v>0</v>
      </c>
      <c r="AE15" s="7"/>
      <c r="AF15" s="7"/>
      <c r="AG15" s="7"/>
      <c r="AH15" s="7">
        <f t="shared" ref="AH15" si="59">SUM(AJ12:AK12)</f>
        <v>0</v>
      </c>
      <c r="AI15" s="7"/>
      <c r="AJ15" s="7"/>
      <c r="AK15" s="7"/>
      <c r="AL15" s="7">
        <f t="shared" ref="AL15" si="60">SUM(AN12:AO12)</f>
        <v>0</v>
      </c>
      <c r="AM15" s="7"/>
      <c r="AN15" s="7"/>
      <c r="AO15" s="7"/>
      <c r="AP15" s="7">
        <f t="shared" ref="AP15" si="61">SUM(AR12:AS12)</f>
        <v>0</v>
      </c>
      <c r="AQ15" s="7"/>
      <c r="AR15" s="7"/>
      <c r="AS15" s="7"/>
      <c r="AT15" s="7">
        <f t="shared" ref="AT15" si="62">SUM(AV12:AW12)</f>
        <v>0</v>
      </c>
      <c r="AU15" s="7"/>
      <c r="AV15" s="7"/>
      <c r="AW15" s="7"/>
      <c r="AX15" s="7">
        <f t="shared" ref="AX15" si="63">SUM(AZ12:BA12)</f>
        <v>0</v>
      </c>
      <c r="AY15" s="7"/>
      <c r="AZ15" s="7"/>
      <c r="BA15" s="7"/>
      <c r="BB15" s="7">
        <f t="shared" ref="BB15" si="64">SUM(BD12:BE12)</f>
        <v>1</v>
      </c>
      <c r="BC15" s="7"/>
      <c r="BD15" s="7"/>
      <c r="BE15" s="7"/>
      <c r="BF15" s="7">
        <f t="shared" ref="BF15" si="65">SUM(BH12:BI12)</f>
        <v>0</v>
      </c>
      <c r="BG15" s="7"/>
      <c r="BH15" s="7"/>
      <c r="BI15" s="7"/>
      <c r="BJ15" s="7">
        <f t="shared" ref="BJ15" si="66">SUM(BL12:BM12)</f>
        <v>0</v>
      </c>
      <c r="BK15" s="7"/>
      <c r="BL15" s="7"/>
      <c r="BM15" s="7"/>
      <c r="BN15" s="7">
        <f t="shared" ref="BN15" si="67">SUM(BP12:BQ12)</f>
        <v>0</v>
      </c>
      <c r="BO15" s="7"/>
      <c r="BP15" s="7"/>
      <c r="BQ15" s="7"/>
      <c r="BR15" s="7">
        <f t="shared" ref="BR15" si="68">SUM(BT12:BU12)</f>
        <v>0</v>
      </c>
      <c r="BS15" s="7"/>
      <c r="BT15" s="7"/>
      <c r="BU15" s="7"/>
    </row>
    <row r="16" spans="1:77" x14ac:dyDescent="0.55000000000000004">
      <c r="A16" s="2" t="s">
        <v>64</v>
      </c>
      <c r="B16" s="7">
        <f>B11+B14</f>
        <v>1</v>
      </c>
      <c r="C16" s="7"/>
      <c r="D16" s="7"/>
      <c r="E16" s="7"/>
      <c r="F16" s="7">
        <f t="shared" ref="F16:AK16" si="69">F11+F14</f>
        <v>8</v>
      </c>
      <c r="G16" s="7"/>
      <c r="H16" s="7"/>
      <c r="I16" s="7"/>
      <c r="J16" s="7">
        <f t="shared" ref="J16:AO16" si="70">J11+J14</f>
        <v>6</v>
      </c>
      <c r="K16" s="7"/>
      <c r="L16" s="7"/>
      <c r="M16" s="7"/>
      <c r="N16" s="7">
        <f t="shared" ref="N16:AS16" si="71">N11+N14</f>
        <v>2.6</v>
      </c>
      <c r="O16" s="7"/>
      <c r="P16" s="7"/>
      <c r="Q16" s="7"/>
      <c r="R16" s="7">
        <f t="shared" ref="R16:AW16" si="72">R11+R14</f>
        <v>0</v>
      </c>
      <c r="S16" s="7"/>
      <c r="T16" s="7"/>
      <c r="U16" s="7"/>
      <c r="V16" s="7">
        <f t="shared" ref="V16:BA16" si="73">V11+V14</f>
        <v>0</v>
      </c>
      <c r="W16" s="7"/>
      <c r="X16" s="7"/>
      <c r="Y16" s="7"/>
      <c r="Z16" s="7">
        <f t="shared" ref="Z16:BU16" si="74">Z11+Z14</f>
        <v>0</v>
      </c>
      <c r="AA16" s="7"/>
      <c r="AB16" s="7"/>
      <c r="AC16" s="7"/>
      <c r="AD16" s="7">
        <f t="shared" ref="AD16:BU16" si="75">AD11+AD14</f>
        <v>0</v>
      </c>
      <c r="AE16" s="7"/>
      <c r="AF16" s="7"/>
      <c r="AG16" s="7"/>
      <c r="AH16" s="7">
        <f t="shared" ref="AH16:BU16" si="76">AH11+AH14</f>
        <v>0</v>
      </c>
      <c r="AI16" s="7"/>
      <c r="AJ16" s="7"/>
      <c r="AK16" s="7"/>
      <c r="AL16" s="7">
        <f t="shared" ref="AL16:BU16" si="77">AL11+AL14</f>
        <v>0</v>
      </c>
      <c r="AM16" s="7"/>
      <c r="AN16" s="7"/>
      <c r="AO16" s="7"/>
      <c r="AP16" s="7">
        <f t="shared" ref="AP16:BU16" si="78">AP11+AP14</f>
        <v>0</v>
      </c>
      <c r="AQ16" s="7"/>
      <c r="AR16" s="7"/>
      <c r="AS16" s="7"/>
      <c r="AT16" s="7">
        <f t="shared" ref="AT16:BU16" si="79">AT11+AT14</f>
        <v>2.6</v>
      </c>
      <c r="AU16" s="7"/>
      <c r="AV16" s="7"/>
      <c r="AW16" s="7"/>
      <c r="AX16" s="7">
        <f t="shared" ref="AX16:BU16" si="80">AX11+AX14</f>
        <v>3</v>
      </c>
      <c r="AY16" s="7"/>
      <c r="AZ16" s="7"/>
      <c r="BA16" s="7"/>
      <c r="BB16" s="7">
        <f t="shared" ref="BB16:BU16" si="81">BB11+BB14</f>
        <v>4</v>
      </c>
      <c r="BC16" s="7"/>
      <c r="BD16" s="7"/>
      <c r="BE16" s="7"/>
      <c r="BF16" s="7">
        <f t="shared" ref="BF16:BU16" si="82">BF11+BF14</f>
        <v>1</v>
      </c>
      <c r="BG16" s="7"/>
      <c r="BH16" s="7"/>
      <c r="BI16" s="7"/>
      <c r="BJ16" s="7">
        <f t="shared" ref="BJ16:BU16" si="83">BJ11+BJ14</f>
        <v>4.4000000000000004</v>
      </c>
      <c r="BK16" s="7"/>
      <c r="BL16" s="7"/>
      <c r="BM16" s="7"/>
      <c r="BN16" s="7">
        <f t="shared" ref="BN16:BU16" si="84">BN11+BN14</f>
        <v>1.6</v>
      </c>
      <c r="BO16" s="7"/>
      <c r="BP16" s="7"/>
      <c r="BQ16" s="7"/>
      <c r="BR16" s="7">
        <f t="shared" ref="BR16:BU16" si="85">BR11+BR14</f>
        <v>1</v>
      </c>
      <c r="BS16" s="7"/>
      <c r="BT16" s="7"/>
      <c r="BU16" s="7"/>
    </row>
    <row r="17" spans="1:73" x14ac:dyDescent="0.55000000000000004">
      <c r="A17" s="2" t="s">
        <v>41</v>
      </c>
      <c r="B17" s="7">
        <f>B13+B15</f>
        <v>0</v>
      </c>
      <c r="C17" s="7"/>
      <c r="D17" s="7"/>
      <c r="E17" s="7"/>
      <c r="F17" s="7">
        <f t="shared" ref="F17:AK17" si="86">F13+F15</f>
        <v>3.5</v>
      </c>
      <c r="G17" s="7"/>
      <c r="H17" s="7"/>
      <c r="I17" s="7"/>
      <c r="J17" s="7">
        <f t="shared" ref="J17:AO17" si="87">J13+J15</f>
        <v>0</v>
      </c>
      <c r="K17" s="7"/>
      <c r="L17" s="7"/>
      <c r="M17" s="7"/>
      <c r="N17" s="7">
        <f t="shared" ref="N17:AS17" si="88">N13+N15</f>
        <v>0</v>
      </c>
      <c r="O17" s="7"/>
      <c r="P17" s="7"/>
      <c r="Q17" s="7"/>
      <c r="R17" s="7">
        <f t="shared" ref="R17:AW17" si="89">R13+R15</f>
        <v>0</v>
      </c>
      <c r="S17" s="7"/>
      <c r="T17" s="7"/>
      <c r="U17" s="7"/>
      <c r="V17" s="7">
        <f t="shared" ref="V17:BA17" si="90">V13+V15</f>
        <v>0</v>
      </c>
      <c r="W17" s="7"/>
      <c r="X17" s="7"/>
      <c r="Y17" s="7"/>
      <c r="Z17" s="7">
        <f t="shared" ref="Z17:BU17" si="91">Z13+Z15</f>
        <v>0</v>
      </c>
      <c r="AA17" s="7"/>
      <c r="AB17" s="7"/>
      <c r="AC17" s="7"/>
      <c r="AD17" s="7">
        <f t="shared" ref="AD17:BU17" si="92">AD13+AD15</f>
        <v>0</v>
      </c>
      <c r="AE17" s="7"/>
      <c r="AF17" s="7"/>
      <c r="AG17" s="7"/>
      <c r="AH17" s="7">
        <f t="shared" ref="AH17:BU17" si="93">AH13+AH15</f>
        <v>0</v>
      </c>
      <c r="AI17" s="7"/>
      <c r="AJ17" s="7"/>
      <c r="AK17" s="7"/>
      <c r="AL17" s="7">
        <f t="shared" ref="AL17:BU17" si="94">AL13+AL15</f>
        <v>0</v>
      </c>
      <c r="AM17" s="7"/>
      <c r="AN17" s="7"/>
      <c r="AO17" s="7"/>
      <c r="AP17" s="7">
        <f t="shared" ref="AP17:BU17" si="95">AP13+AP15</f>
        <v>0</v>
      </c>
      <c r="AQ17" s="7"/>
      <c r="AR17" s="7"/>
      <c r="AS17" s="7"/>
      <c r="AT17" s="7">
        <f t="shared" ref="AT17:BU17" si="96">AT13+AT15</f>
        <v>0</v>
      </c>
      <c r="AU17" s="7"/>
      <c r="AV17" s="7"/>
      <c r="AW17" s="7"/>
      <c r="AX17" s="7">
        <f t="shared" ref="AX17:BU17" si="97">AX13+AX15</f>
        <v>0</v>
      </c>
      <c r="AY17" s="7"/>
      <c r="AZ17" s="7"/>
      <c r="BA17" s="7"/>
      <c r="BB17" s="7">
        <f t="shared" ref="BB17:BU17" si="98">BB13+BB15</f>
        <v>2</v>
      </c>
      <c r="BC17" s="7"/>
      <c r="BD17" s="7"/>
      <c r="BE17" s="7"/>
      <c r="BF17" s="7">
        <f t="shared" ref="BF17:BU17" si="99">BF13+BF15</f>
        <v>1</v>
      </c>
      <c r="BG17" s="7"/>
      <c r="BH17" s="7"/>
      <c r="BI17" s="7"/>
      <c r="BJ17" s="7">
        <f t="shared" ref="BJ17:BU17" si="100">BJ13+BJ15</f>
        <v>1</v>
      </c>
      <c r="BK17" s="7"/>
      <c r="BL17" s="7"/>
      <c r="BM17" s="7"/>
      <c r="BN17" s="7">
        <f t="shared" ref="BN17:BU17" si="101">BN13+BN15</f>
        <v>0</v>
      </c>
      <c r="BO17" s="7"/>
      <c r="BP17" s="7"/>
      <c r="BQ17" s="7"/>
      <c r="BR17" s="7">
        <f t="shared" ref="BR17:BU17" si="102">BR13+BR15</f>
        <v>0</v>
      </c>
      <c r="BS17" s="7"/>
      <c r="BT17" s="7"/>
      <c r="BU17" s="7"/>
    </row>
    <row r="21" spans="1:73" x14ac:dyDescent="0.55000000000000004">
      <c r="A21" s="1"/>
      <c r="B21" s="1" t="s">
        <v>42</v>
      </c>
      <c r="C21" s="1" t="s">
        <v>43</v>
      </c>
      <c r="D21" s="1" t="s">
        <v>44</v>
      </c>
      <c r="E21" s="1" t="s">
        <v>45</v>
      </c>
      <c r="F21" s="1" t="s">
        <v>46</v>
      </c>
      <c r="G21" s="1" t="s">
        <v>47</v>
      </c>
      <c r="H21" s="1" t="s">
        <v>48</v>
      </c>
      <c r="I21" s="1" t="s">
        <v>49</v>
      </c>
      <c r="J21" s="1" t="s">
        <v>50</v>
      </c>
      <c r="K21" s="1" t="s">
        <v>51</v>
      </c>
      <c r="L21" s="1" t="s">
        <v>52</v>
      </c>
      <c r="M21" s="1" t="s">
        <v>53</v>
      </c>
      <c r="N21" s="1" t="s">
        <v>54</v>
      </c>
      <c r="O21" s="1" t="s">
        <v>55</v>
      </c>
      <c r="P21" s="1" t="s">
        <v>56</v>
      </c>
      <c r="Q21" s="1" t="s">
        <v>57</v>
      </c>
      <c r="R21" s="1" t="s">
        <v>58</v>
      </c>
      <c r="S21" s="1" t="s">
        <v>59</v>
      </c>
    </row>
    <row r="22" spans="1:73" x14ac:dyDescent="0.55000000000000004">
      <c r="A22" s="1" t="s">
        <v>65</v>
      </c>
      <c r="B22" s="1">
        <f>B11</f>
        <v>1</v>
      </c>
      <c r="C22" s="1">
        <f>F11</f>
        <v>5</v>
      </c>
      <c r="D22" s="1">
        <f>J11</f>
        <v>4</v>
      </c>
      <c r="E22" s="1">
        <f>N11</f>
        <v>2</v>
      </c>
      <c r="F22" s="1">
        <f>R11</f>
        <v>0</v>
      </c>
      <c r="G22" s="1">
        <f>V11</f>
        <v>0</v>
      </c>
      <c r="H22" s="1">
        <f>Z11</f>
        <v>0</v>
      </c>
      <c r="I22" s="1">
        <f>AD11</f>
        <v>0</v>
      </c>
      <c r="J22" s="1">
        <f>AH11</f>
        <v>0</v>
      </c>
      <c r="K22" s="1">
        <f>AL11</f>
        <v>0</v>
      </c>
      <c r="L22" s="1">
        <f>AP11</f>
        <v>0</v>
      </c>
      <c r="M22" s="1">
        <f>AT11</f>
        <v>1.6</v>
      </c>
      <c r="N22" s="1">
        <f>AX11</f>
        <v>2.4</v>
      </c>
      <c r="O22" s="1">
        <f>BB11</f>
        <v>2</v>
      </c>
      <c r="P22" s="1">
        <f>BF11</f>
        <v>1</v>
      </c>
      <c r="Q22" s="1">
        <f>BJ11</f>
        <v>3.4</v>
      </c>
      <c r="R22" s="1">
        <f>BN11</f>
        <v>1.6</v>
      </c>
      <c r="S22" s="1">
        <f>BR11</f>
        <v>0</v>
      </c>
    </row>
    <row r="23" spans="1:73" x14ac:dyDescent="0.55000000000000004">
      <c r="A23" s="1" t="s">
        <v>66</v>
      </c>
      <c r="B23" s="1">
        <f>B13</f>
        <v>0</v>
      </c>
      <c r="C23" s="1">
        <f>F13</f>
        <v>2</v>
      </c>
      <c r="D23" s="1">
        <f>J13</f>
        <v>0</v>
      </c>
      <c r="E23" s="1">
        <f>N13</f>
        <v>0</v>
      </c>
      <c r="F23" s="1">
        <f>R13</f>
        <v>0</v>
      </c>
      <c r="G23" s="1">
        <f>V13</f>
        <v>0</v>
      </c>
      <c r="H23" s="1">
        <f>Z13</f>
        <v>0</v>
      </c>
      <c r="I23" s="1">
        <f>AD13</f>
        <v>0</v>
      </c>
      <c r="J23" s="1">
        <f>AH13</f>
        <v>0</v>
      </c>
      <c r="K23" s="1">
        <f>AL13</f>
        <v>0</v>
      </c>
      <c r="L23" s="1">
        <f>AP13</f>
        <v>0</v>
      </c>
      <c r="M23" s="1">
        <f>AT13</f>
        <v>0</v>
      </c>
      <c r="N23" s="1">
        <f>AX13</f>
        <v>0</v>
      </c>
      <c r="O23" s="1">
        <f>BB13</f>
        <v>1</v>
      </c>
      <c r="P23" s="1">
        <f>BF13</f>
        <v>1</v>
      </c>
      <c r="Q23" s="1">
        <f>BJ13</f>
        <v>1</v>
      </c>
      <c r="R23" s="1">
        <f>BN13</f>
        <v>0</v>
      </c>
      <c r="S23" s="1">
        <f>BR13</f>
        <v>0</v>
      </c>
    </row>
    <row r="24" spans="1:73" x14ac:dyDescent="0.55000000000000004">
      <c r="A24" s="2" t="s">
        <v>60</v>
      </c>
      <c r="B24" s="1">
        <f>B114</f>
        <v>0</v>
      </c>
      <c r="C24" s="1">
        <f t="shared" ref="C24:C27" si="103">F14</f>
        <v>3</v>
      </c>
      <c r="D24" s="1">
        <f t="shared" ref="D24:D27" si="104">J14</f>
        <v>2</v>
      </c>
      <c r="E24" s="1">
        <f t="shared" ref="E24:E27" si="105">N14</f>
        <v>0.6</v>
      </c>
      <c r="F24" s="1">
        <f t="shared" ref="F24:F27" si="106">R14</f>
        <v>0</v>
      </c>
      <c r="G24" s="1">
        <f t="shared" ref="G24:G27" si="107">V14</f>
        <v>0</v>
      </c>
      <c r="H24" s="1">
        <f t="shared" ref="H24:H27" si="108">Z14</f>
        <v>0</v>
      </c>
      <c r="I24" s="1">
        <f t="shared" ref="I24:I27" si="109">AD14</f>
        <v>0</v>
      </c>
      <c r="J24" s="1">
        <f t="shared" ref="J24:J27" si="110">AH14</f>
        <v>0</v>
      </c>
      <c r="K24" s="1">
        <f t="shared" ref="K24:K27" si="111">AL14</f>
        <v>0</v>
      </c>
      <c r="L24" s="1">
        <f t="shared" ref="L24:L27" si="112">AP14</f>
        <v>0</v>
      </c>
      <c r="M24" s="1">
        <f t="shared" ref="M24:M27" si="113">AT14</f>
        <v>1</v>
      </c>
      <c r="N24" s="1">
        <f t="shared" ref="N24:N27" si="114">AX14</f>
        <v>0.6</v>
      </c>
      <c r="O24" s="1">
        <f t="shared" ref="O24:O27" si="115">BB14</f>
        <v>2</v>
      </c>
      <c r="P24" s="1">
        <f t="shared" ref="P24:P27" si="116">BF14</f>
        <v>0</v>
      </c>
      <c r="Q24" s="1">
        <f t="shared" ref="Q24:Q27" si="117">BJ14</f>
        <v>1</v>
      </c>
      <c r="R24" s="1">
        <f t="shared" ref="R24:R27" si="118">BN14</f>
        <v>0</v>
      </c>
      <c r="S24" s="1">
        <f t="shared" ref="S24:S27" si="119">BR14</f>
        <v>1</v>
      </c>
    </row>
    <row r="25" spans="1:73" x14ac:dyDescent="0.55000000000000004">
      <c r="A25" s="2" t="s">
        <v>63</v>
      </c>
      <c r="B25" s="1">
        <f>B115</f>
        <v>0</v>
      </c>
      <c r="C25" s="1">
        <f t="shared" si="103"/>
        <v>1.5</v>
      </c>
      <c r="D25" s="1">
        <f t="shared" si="104"/>
        <v>0</v>
      </c>
      <c r="E25" s="1">
        <f t="shared" si="105"/>
        <v>0</v>
      </c>
      <c r="F25" s="1">
        <f t="shared" si="106"/>
        <v>0</v>
      </c>
      <c r="G25" s="1">
        <f t="shared" si="107"/>
        <v>0</v>
      </c>
      <c r="H25" s="1">
        <f t="shared" si="108"/>
        <v>0</v>
      </c>
      <c r="I25" s="1">
        <f t="shared" si="109"/>
        <v>0</v>
      </c>
      <c r="J25" s="1">
        <f t="shared" si="110"/>
        <v>0</v>
      </c>
      <c r="K25" s="1">
        <f t="shared" si="111"/>
        <v>0</v>
      </c>
      <c r="L25" s="1">
        <f t="shared" si="112"/>
        <v>0</v>
      </c>
      <c r="M25" s="1">
        <f t="shared" si="113"/>
        <v>0</v>
      </c>
      <c r="N25" s="1">
        <f t="shared" si="114"/>
        <v>0</v>
      </c>
      <c r="O25" s="1">
        <f t="shared" si="115"/>
        <v>1</v>
      </c>
      <c r="P25" s="1">
        <f t="shared" si="116"/>
        <v>0</v>
      </c>
      <c r="Q25" s="1">
        <f t="shared" si="117"/>
        <v>0</v>
      </c>
      <c r="R25" s="1">
        <f t="shared" si="118"/>
        <v>0</v>
      </c>
      <c r="S25" s="1">
        <f t="shared" si="119"/>
        <v>0</v>
      </c>
    </row>
    <row r="26" spans="1:73" x14ac:dyDescent="0.55000000000000004">
      <c r="A26" s="2" t="s">
        <v>64</v>
      </c>
      <c r="B26" s="1">
        <f>B16</f>
        <v>1</v>
      </c>
      <c r="C26" s="1">
        <f t="shared" si="103"/>
        <v>8</v>
      </c>
      <c r="D26" s="1">
        <f t="shared" si="104"/>
        <v>6</v>
      </c>
      <c r="E26" s="1">
        <f t="shared" si="105"/>
        <v>2.6</v>
      </c>
      <c r="F26" s="1">
        <f t="shared" si="106"/>
        <v>0</v>
      </c>
      <c r="G26" s="1">
        <f t="shared" si="107"/>
        <v>0</v>
      </c>
      <c r="H26" s="1">
        <f t="shared" si="108"/>
        <v>0</v>
      </c>
      <c r="I26" s="1">
        <f t="shared" si="109"/>
        <v>0</v>
      </c>
      <c r="J26" s="1">
        <f t="shared" si="110"/>
        <v>0</v>
      </c>
      <c r="K26" s="1">
        <f t="shared" si="111"/>
        <v>0</v>
      </c>
      <c r="L26" s="1">
        <f t="shared" si="112"/>
        <v>0</v>
      </c>
      <c r="M26" s="1">
        <f t="shared" si="113"/>
        <v>2.6</v>
      </c>
      <c r="N26" s="1">
        <f t="shared" si="114"/>
        <v>3</v>
      </c>
      <c r="O26" s="1">
        <f t="shared" si="115"/>
        <v>4</v>
      </c>
      <c r="P26" s="1">
        <f t="shared" si="116"/>
        <v>1</v>
      </c>
      <c r="Q26" s="1">
        <f t="shared" si="117"/>
        <v>4.4000000000000004</v>
      </c>
      <c r="R26" s="1">
        <f t="shared" si="118"/>
        <v>1.6</v>
      </c>
      <c r="S26" s="1">
        <f t="shared" si="119"/>
        <v>1</v>
      </c>
    </row>
    <row r="27" spans="1:73" x14ac:dyDescent="0.55000000000000004">
      <c r="A27" s="2" t="s">
        <v>41</v>
      </c>
      <c r="B27" s="1">
        <f>B117</f>
        <v>0</v>
      </c>
      <c r="C27" s="1">
        <f t="shared" si="103"/>
        <v>3.5</v>
      </c>
      <c r="D27" s="1">
        <f t="shared" si="104"/>
        <v>0</v>
      </c>
      <c r="E27" s="1">
        <f t="shared" si="105"/>
        <v>0</v>
      </c>
      <c r="F27" s="1">
        <f t="shared" si="106"/>
        <v>0</v>
      </c>
      <c r="G27" s="1">
        <f t="shared" si="107"/>
        <v>0</v>
      </c>
      <c r="H27" s="1">
        <f t="shared" si="108"/>
        <v>0</v>
      </c>
      <c r="I27" s="1">
        <f t="shared" si="109"/>
        <v>0</v>
      </c>
      <c r="J27" s="1">
        <f t="shared" si="110"/>
        <v>0</v>
      </c>
      <c r="K27" s="1">
        <f t="shared" si="111"/>
        <v>0</v>
      </c>
      <c r="L27" s="1">
        <f t="shared" si="112"/>
        <v>0</v>
      </c>
      <c r="M27" s="1">
        <f t="shared" si="113"/>
        <v>0</v>
      </c>
      <c r="N27" s="1">
        <f t="shared" si="114"/>
        <v>0</v>
      </c>
      <c r="O27" s="1">
        <f t="shared" si="115"/>
        <v>2</v>
      </c>
      <c r="P27" s="1">
        <f t="shared" si="116"/>
        <v>1</v>
      </c>
      <c r="Q27" s="1">
        <f t="shared" si="117"/>
        <v>1</v>
      </c>
      <c r="R27" s="1">
        <f t="shared" si="118"/>
        <v>0</v>
      </c>
      <c r="S27" s="1">
        <f t="shared" si="119"/>
        <v>0</v>
      </c>
    </row>
    <row r="28" spans="1:73" x14ac:dyDescent="0.5500000000000000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73" x14ac:dyDescent="0.5500000000000000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73" x14ac:dyDescent="0.5500000000000000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73" x14ac:dyDescent="0.55000000000000004">
      <c r="A31" s="1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73" x14ac:dyDescent="0.55000000000000004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2"/>
    </row>
  </sheetData>
  <mergeCells count="127">
    <mergeCell ref="BB17:BE17"/>
    <mergeCell ref="BF17:BI17"/>
    <mergeCell ref="BJ17:BM17"/>
    <mergeCell ref="BN17:BQ17"/>
    <mergeCell ref="BR17:BU17"/>
    <mergeCell ref="BJ16:BM16"/>
    <mergeCell ref="BN16:BQ16"/>
    <mergeCell ref="BR16:BU16"/>
    <mergeCell ref="B17:E17"/>
    <mergeCell ref="F17:I17"/>
    <mergeCell ref="J17:M17"/>
    <mergeCell ref="N17:Q17"/>
    <mergeCell ref="R17:U17"/>
    <mergeCell ref="V17:Y17"/>
    <mergeCell ref="Z17:AC17"/>
    <mergeCell ref="AD17:AG17"/>
    <mergeCell ref="AH17:AK17"/>
    <mergeCell ref="AL17:AO17"/>
    <mergeCell ref="AP17:AS17"/>
    <mergeCell ref="AT17:AW17"/>
    <mergeCell ref="AX17:BA17"/>
    <mergeCell ref="AP16:AS16"/>
    <mergeCell ref="AT16:AW16"/>
    <mergeCell ref="AX16:BA16"/>
    <mergeCell ref="BB16:BE16"/>
    <mergeCell ref="BF16:BI16"/>
    <mergeCell ref="V16:Y16"/>
    <mergeCell ref="Z16:AC16"/>
    <mergeCell ref="AD16:AG16"/>
    <mergeCell ref="AH16:AK16"/>
    <mergeCell ref="AL16:AO16"/>
    <mergeCell ref="B16:E16"/>
    <mergeCell ref="F16:I16"/>
    <mergeCell ref="J16:M16"/>
    <mergeCell ref="N16:Q16"/>
    <mergeCell ref="R16:U16"/>
    <mergeCell ref="BB14:BE14"/>
    <mergeCell ref="BF14:BI14"/>
    <mergeCell ref="BJ14:BM14"/>
    <mergeCell ref="BN14:BQ14"/>
    <mergeCell ref="BR14:BU14"/>
    <mergeCell ref="AH14:AK14"/>
    <mergeCell ref="AL14:AO14"/>
    <mergeCell ref="AP14:AS14"/>
    <mergeCell ref="AT14:AW14"/>
    <mergeCell ref="AX14:BA14"/>
    <mergeCell ref="N14:Q14"/>
    <mergeCell ref="R14:U14"/>
    <mergeCell ref="V14:Y14"/>
    <mergeCell ref="Z14:AC14"/>
    <mergeCell ref="AD14:AG14"/>
    <mergeCell ref="BB15:BE15"/>
    <mergeCell ref="BF15:BI15"/>
    <mergeCell ref="BJ15:BM15"/>
    <mergeCell ref="BN15:BQ15"/>
    <mergeCell ref="BR15:BU15"/>
    <mergeCell ref="AH15:AK15"/>
    <mergeCell ref="AL15:AO15"/>
    <mergeCell ref="AP15:AS15"/>
    <mergeCell ref="AT15:AW15"/>
    <mergeCell ref="AX15:BA15"/>
    <mergeCell ref="N15:Q15"/>
    <mergeCell ref="R15:U15"/>
    <mergeCell ref="V15:Y15"/>
    <mergeCell ref="Z15:AC15"/>
    <mergeCell ref="AD15:AG15"/>
    <mergeCell ref="B14:E14"/>
    <mergeCell ref="B15:E15"/>
    <mergeCell ref="F14:I14"/>
    <mergeCell ref="F15:I15"/>
    <mergeCell ref="J14:M14"/>
    <mergeCell ref="J15:M15"/>
    <mergeCell ref="V1:Y1"/>
    <mergeCell ref="B1:E1"/>
    <mergeCell ref="F1:I1"/>
    <mergeCell ref="J1:M1"/>
    <mergeCell ref="N1:Q1"/>
    <mergeCell ref="R1:U1"/>
    <mergeCell ref="BR1:BU1"/>
    <mergeCell ref="Z1:AC1"/>
    <mergeCell ref="AD1:AG1"/>
    <mergeCell ref="AH1:AK1"/>
    <mergeCell ref="AL1:AO1"/>
    <mergeCell ref="AP1:AS1"/>
    <mergeCell ref="AT1:AW1"/>
    <mergeCell ref="BF11:BI11"/>
    <mergeCell ref="BV1:BY1"/>
    <mergeCell ref="B11:E11"/>
    <mergeCell ref="F11:I11"/>
    <mergeCell ref="J11:M11"/>
    <mergeCell ref="N11:Q11"/>
    <mergeCell ref="R11:U11"/>
    <mergeCell ref="V11:Y11"/>
    <mergeCell ref="Z11:AC11"/>
    <mergeCell ref="AD11:AG11"/>
    <mergeCell ref="AH11:AK11"/>
    <mergeCell ref="AX1:BA1"/>
    <mergeCell ref="BB1:BE1"/>
    <mergeCell ref="BF1:BI1"/>
    <mergeCell ref="BJ1:BM1"/>
    <mergeCell ref="BN1:BQ1"/>
    <mergeCell ref="AX13:BA13"/>
    <mergeCell ref="BJ11:BM11"/>
    <mergeCell ref="BN11:BQ11"/>
    <mergeCell ref="BR11:BU11"/>
    <mergeCell ref="B13:E13"/>
    <mergeCell ref="F13:I13"/>
    <mergeCell ref="J13:M13"/>
    <mergeCell ref="N13:Q13"/>
    <mergeCell ref="R13:U13"/>
    <mergeCell ref="V13:Y13"/>
    <mergeCell ref="Z13:AC13"/>
    <mergeCell ref="AL11:AO11"/>
    <mergeCell ref="AP11:AS11"/>
    <mergeCell ref="AT11:AW11"/>
    <mergeCell ref="AX11:BA11"/>
    <mergeCell ref="BB11:BE11"/>
    <mergeCell ref="AD13:AG13"/>
    <mergeCell ref="AH13:AK13"/>
    <mergeCell ref="AL13:AO13"/>
    <mergeCell ref="AP13:AS13"/>
    <mergeCell ref="AT13:AW13"/>
    <mergeCell ref="BB13:BE13"/>
    <mergeCell ref="BF13:BI13"/>
    <mergeCell ref="BJ13:BM13"/>
    <mergeCell ref="BN13:BQ13"/>
    <mergeCell ref="BR13:BU13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9"/>
  <sheetViews>
    <sheetView tabSelected="1" workbookViewId="0">
      <selection activeCell="G28" sqref="G28"/>
    </sheetView>
  </sheetViews>
  <sheetFormatPr defaultRowHeight="18" x14ac:dyDescent="0.55000000000000004"/>
  <cols>
    <col min="2" max="2" width="9.6640625" bestFit="1" customWidth="1"/>
    <col min="3" max="5" width="10.75" bestFit="1" customWidth="1"/>
  </cols>
  <sheetData>
    <row r="2" spans="2:16" x14ac:dyDescent="0.55000000000000004">
      <c r="B2" t="s">
        <v>67</v>
      </c>
      <c r="C2" t="s">
        <v>68</v>
      </c>
      <c r="D2" t="s">
        <v>69</v>
      </c>
      <c r="E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</row>
    <row r="3" spans="2:16" x14ac:dyDescent="0.55000000000000004">
      <c r="B3">
        <v>1</v>
      </c>
      <c r="C3">
        <v>8</v>
      </c>
      <c r="D3">
        <v>9</v>
      </c>
      <c r="E3">
        <v>3</v>
      </c>
      <c r="F3">
        <f>SUM(B3:E3)</f>
        <v>21</v>
      </c>
      <c r="I3">
        <v>3</v>
      </c>
      <c r="J3">
        <v>4</v>
      </c>
      <c r="K3">
        <v>4</v>
      </c>
      <c r="L3">
        <v>1</v>
      </c>
      <c r="M3">
        <v>6</v>
      </c>
      <c r="N3">
        <v>2</v>
      </c>
      <c r="O3">
        <v>1</v>
      </c>
      <c r="P3">
        <f>SUM(I3:O3)</f>
        <v>21</v>
      </c>
    </row>
    <row r="4" spans="2:16" x14ac:dyDescent="0.55000000000000004">
      <c r="B4" s="15">
        <f>B3/$F$3*100</f>
        <v>4.7619047619047619</v>
      </c>
      <c r="C4" s="15">
        <f t="shared" ref="C4:E4" si="0">C3/$F$3*100</f>
        <v>38.095238095238095</v>
      </c>
      <c r="D4" s="15">
        <f t="shared" si="0"/>
        <v>42.857142857142854</v>
      </c>
      <c r="E4" s="15">
        <f t="shared" si="0"/>
        <v>14.285714285714285</v>
      </c>
      <c r="I4" s="16">
        <f>I3/$P$3</f>
        <v>0.14285714285714285</v>
      </c>
      <c r="J4" s="16">
        <f t="shared" ref="J4:O4" si="1">J3/$P$3</f>
        <v>0.19047619047619047</v>
      </c>
      <c r="K4" s="16">
        <f t="shared" si="1"/>
        <v>0.19047619047619047</v>
      </c>
      <c r="L4" s="16">
        <f t="shared" si="1"/>
        <v>4.7619047619047616E-2</v>
      </c>
      <c r="M4" s="16">
        <f t="shared" si="1"/>
        <v>0.2857142857142857</v>
      </c>
      <c r="N4" s="16">
        <f t="shared" si="1"/>
        <v>9.5238095238095233E-2</v>
      </c>
      <c r="O4" s="16">
        <f t="shared" si="1"/>
        <v>4.7619047619047616E-2</v>
      </c>
    </row>
    <row r="7" spans="2:16" x14ac:dyDescent="0.55000000000000004">
      <c r="I7" t="s">
        <v>7</v>
      </c>
      <c r="J7" t="s">
        <v>15</v>
      </c>
      <c r="K7" t="s">
        <v>16</v>
      </c>
      <c r="L7" t="s">
        <v>78</v>
      </c>
    </row>
    <row r="8" spans="2:16" x14ac:dyDescent="0.55000000000000004">
      <c r="I8">
        <v>1</v>
      </c>
      <c r="J8">
        <v>15</v>
      </c>
      <c r="K8">
        <v>5</v>
      </c>
      <c r="L8">
        <v>1</v>
      </c>
      <c r="M8">
        <f>SUM(I8:L8)</f>
        <v>22</v>
      </c>
    </row>
    <row r="9" spans="2:16" x14ac:dyDescent="0.55000000000000004">
      <c r="I9" s="16">
        <f>I8/$M$8</f>
        <v>4.5454545454545456E-2</v>
      </c>
      <c r="J9" s="16">
        <f t="shared" ref="J9:L9" si="2">J8/$M$8</f>
        <v>0.68181818181818177</v>
      </c>
      <c r="K9" s="16">
        <f t="shared" si="2"/>
        <v>0.22727272727272727</v>
      </c>
      <c r="L9" s="16">
        <f t="shared" si="2"/>
        <v>4.5454545454545456E-2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トリップ数</vt:lpstr>
      <vt:lpstr>円グラフ整理用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</dc:creator>
  <cp:lastModifiedBy>tomoki</cp:lastModifiedBy>
  <dcterms:created xsi:type="dcterms:W3CDTF">2023-12-17T16:16:15Z</dcterms:created>
  <dcterms:modified xsi:type="dcterms:W3CDTF">2023-12-23T08:39:45Z</dcterms:modified>
</cp:coreProperties>
</file>